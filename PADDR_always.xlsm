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suyama84\Documents\fpga\de0_nano_ptmch\"/>
    </mc:Choice>
  </mc:AlternateContent>
  <bookViews>
    <workbookView xWindow="0" yWindow="0" windowWidth="22992" windowHeight="1008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98" i="1" l="1"/>
  <c r="A686" i="1"/>
  <c r="B692" i="1" s="1"/>
  <c r="A674" i="1"/>
  <c r="A662" i="1"/>
  <c r="A650" i="1"/>
  <c r="A638" i="1"/>
  <c r="B644" i="1" s="1"/>
  <c r="A626" i="1"/>
  <c r="A614" i="1"/>
  <c r="A602" i="1"/>
  <c r="B607" i="1" s="1"/>
  <c r="A590" i="1"/>
  <c r="A578" i="1"/>
  <c r="B586" i="1" s="1"/>
  <c r="A566" i="1"/>
  <c r="A554" i="1"/>
  <c r="A542" i="1"/>
  <c r="A530" i="1"/>
  <c r="A518" i="1"/>
  <c r="A506" i="1"/>
  <c r="B511" i="1" s="1"/>
  <c r="A494" i="1"/>
  <c r="A482" i="1"/>
  <c r="A470" i="1"/>
  <c r="A458" i="1"/>
  <c r="B463" i="1" s="1"/>
  <c r="A446" i="1"/>
  <c r="B452" i="1" s="1"/>
  <c r="A434" i="1"/>
  <c r="A422" i="1"/>
  <c r="A410" i="1"/>
  <c r="B415" i="1" s="1"/>
  <c r="A398" i="1"/>
  <c r="A386" i="1"/>
  <c r="A374" i="1"/>
  <c r="A362" i="1"/>
  <c r="A350" i="1"/>
  <c r="A338" i="1"/>
  <c r="A326" i="1"/>
  <c r="A314" i="1"/>
  <c r="A302" i="1"/>
  <c r="A290" i="1"/>
  <c r="A278" i="1"/>
  <c r="A266" i="1"/>
  <c r="A254" i="1"/>
  <c r="A242" i="1"/>
  <c r="A230" i="1"/>
  <c r="A218" i="1"/>
  <c r="A206" i="1"/>
  <c r="A194" i="1"/>
  <c r="A182" i="1"/>
  <c r="A170" i="1"/>
  <c r="A158" i="1"/>
  <c r="A146" i="1"/>
  <c r="A122" i="1"/>
  <c r="A134" i="1"/>
  <c r="B139" i="1" s="1"/>
  <c r="A110" i="1"/>
  <c r="A98" i="1"/>
  <c r="A86" i="1"/>
  <c r="A74" i="1"/>
  <c r="A62" i="1"/>
  <c r="A38" i="1"/>
  <c r="A50" i="1" s="1"/>
  <c r="A26" i="1"/>
  <c r="A14" i="1"/>
  <c r="B862" i="1"/>
  <c r="B860" i="1"/>
  <c r="B859" i="1"/>
  <c r="B857" i="1"/>
  <c r="A855" i="1"/>
  <c r="B854" i="1"/>
  <c r="B850" i="1"/>
  <c r="B848" i="1"/>
  <c r="B847" i="1"/>
  <c r="B845" i="1"/>
  <c r="A843" i="1"/>
  <c r="B842" i="1"/>
  <c r="B838" i="1"/>
  <c r="B836" i="1"/>
  <c r="B835" i="1"/>
  <c r="B833" i="1"/>
  <c r="A831" i="1"/>
  <c r="B830" i="1"/>
  <c r="B826" i="1"/>
  <c r="B824" i="1"/>
  <c r="B823" i="1"/>
  <c r="B821" i="1"/>
  <c r="A819" i="1"/>
  <c r="B818" i="1"/>
  <c r="B814" i="1"/>
  <c r="B812" i="1"/>
  <c r="B811" i="1"/>
  <c r="B809" i="1"/>
  <c r="A807" i="1"/>
  <c r="B806" i="1"/>
  <c r="B802" i="1"/>
  <c r="B800" i="1"/>
  <c r="B799" i="1"/>
  <c r="B797" i="1"/>
  <c r="A795" i="1"/>
  <c r="B794" i="1"/>
  <c r="B790" i="1"/>
  <c r="B788" i="1"/>
  <c r="B787" i="1"/>
  <c r="B785" i="1"/>
  <c r="A783" i="1"/>
  <c r="B782" i="1"/>
  <c r="B778" i="1"/>
  <c r="B776" i="1"/>
  <c r="B775" i="1"/>
  <c r="B773" i="1"/>
  <c r="A771" i="1"/>
  <c r="B770" i="1"/>
  <c r="B766" i="1"/>
  <c r="B764" i="1"/>
  <c r="B763" i="1"/>
  <c r="B761" i="1"/>
  <c r="A759" i="1"/>
  <c r="B758" i="1"/>
  <c r="B754" i="1"/>
  <c r="B752" i="1"/>
  <c r="B751" i="1"/>
  <c r="B749" i="1"/>
  <c r="A747" i="1"/>
  <c r="B746" i="1"/>
  <c r="B742" i="1"/>
  <c r="B740" i="1"/>
  <c r="B739" i="1"/>
  <c r="B737" i="1"/>
  <c r="A735" i="1"/>
  <c r="B734" i="1"/>
  <c r="B730" i="1"/>
  <c r="B728" i="1"/>
  <c r="B727" i="1"/>
  <c r="B725" i="1"/>
  <c r="A723" i="1"/>
  <c r="B722" i="1"/>
  <c r="B718" i="1"/>
  <c r="B716" i="1"/>
  <c r="B715" i="1"/>
  <c r="B713" i="1"/>
  <c r="A711" i="1"/>
  <c r="B710" i="1"/>
  <c r="B706" i="1"/>
  <c r="B704" i="1"/>
  <c r="B703" i="1"/>
  <c r="B701" i="1"/>
  <c r="A699" i="1"/>
  <c r="B698" i="1"/>
  <c r="B694" i="1"/>
  <c r="B691" i="1"/>
  <c r="B689" i="1"/>
  <c r="A687" i="1"/>
  <c r="B686" i="1"/>
  <c r="B682" i="1"/>
  <c r="B680" i="1"/>
  <c r="B679" i="1"/>
  <c r="B677" i="1"/>
  <c r="A675" i="1"/>
  <c r="B674" i="1"/>
  <c r="B670" i="1"/>
  <c r="B668" i="1"/>
  <c r="B667" i="1"/>
  <c r="B665" i="1"/>
  <c r="A663" i="1"/>
  <c r="B662" i="1"/>
  <c r="B658" i="1"/>
  <c r="B656" i="1"/>
  <c r="B655" i="1"/>
  <c r="B653" i="1"/>
  <c r="A651" i="1"/>
  <c r="B650" i="1"/>
  <c r="B646" i="1"/>
  <c r="B643" i="1"/>
  <c r="B641" i="1"/>
  <c r="A639" i="1"/>
  <c r="B638" i="1"/>
  <c r="B634" i="1"/>
  <c r="B632" i="1"/>
  <c r="B631" i="1"/>
  <c r="B629" i="1"/>
  <c r="A627" i="1"/>
  <c r="B626" i="1"/>
  <c r="B622" i="1"/>
  <c r="B620" i="1"/>
  <c r="B619" i="1"/>
  <c r="B617" i="1"/>
  <c r="A615" i="1"/>
  <c r="B614" i="1"/>
  <c r="B610" i="1"/>
  <c r="B608" i="1"/>
  <c r="A603" i="1"/>
  <c r="B602" i="1"/>
  <c r="B598" i="1"/>
  <c r="B596" i="1"/>
  <c r="B595" i="1"/>
  <c r="B593" i="1"/>
  <c r="A591" i="1"/>
  <c r="B590" i="1"/>
  <c r="B584" i="1"/>
  <c r="B583" i="1"/>
  <c r="B581" i="1"/>
  <c r="A579" i="1"/>
  <c r="B578" i="1"/>
  <c r="B574" i="1"/>
  <c r="B572" i="1"/>
  <c r="B571" i="1"/>
  <c r="B569" i="1"/>
  <c r="A567" i="1"/>
  <c r="B566" i="1"/>
  <c r="B562" i="1"/>
  <c r="B560" i="1"/>
  <c r="B559" i="1"/>
  <c r="B557" i="1"/>
  <c r="A555" i="1"/>
  <c r="B554" i="1"/>
  <c r="B550" i="1"/>
  <c r="B548" i="1"/>
  <c r="B547" i="1"/>
  <c r="B545" i="1"/>
  <c r="A543" i="1"/>
  <c r="B542" i="1"/>
  <c r="B538" i="1"/>
  <c r="B536" i="1"/>
  <c r="B535" i="1"/>
  <c r="B533" i="1"/>
  <c r="A531" i="1"/>
  <c r="B530" i="1"/>
  <c r="B526" i="1"/>
  <c r="B524" i="1"/>
  <c r="B523" i="1"/>
  <c r="B521" i="1"/>
  <c r="A519" i="1"/>
  <c r="B518" i="1"/>
  <c r="B514" i="1"/>
  <c r="B512" i="1"/>
  <c r="B509" i="1"/>
  <c r="A507" i="1"/>
  <c r="B506" i="1"/>
  <c r="B502" i="1"/>
  <c r="B500" i="1"/>
  <c r="B499" i="1"/>
  <c r="B497" i="1"/>
  <c r="A495" i="1"/>
  <c r="B494" i="1"/>
  <c r="B490" i="1"/>
  <c r="B488" i="1"/>
  <c r="B487" i="1"/>
  <c r="B485" i="1"/>
  <c r="A483" i="1"/>
  <c r="B482" i="1"/>
  <c r="B478" i="1"/>
  <c r="B476" i="1"/>
  <c r="B475" i="1"/>
  <c r="B473" i="1"/>
  <c r="A471" i="1"/>
  <c r="B470" i="1"/>
  <c r="B464" i="1"/>
  <c r="B458" i="1"/>
  <c r="B454" i="1"/>
  <c r="B451" i="1"/>
  <c r="B449" i="1"/>
  <c r="A447" i="1"/>
  <c r="B446" i="1"/>
  <c r="B442" i="1"/>
  <c r="B440" i="1"/>
  <c r="B439" i="1"/>
  <c r="B437" i="1"/>
  <c r="A435" i="1"/>
  <c r="B434" i="1"/>
  <c r="B430" i="1"/>
  <c r="B428" i="1"/>
  <c r="B427" i="1"/>
  <c r="B425" i="1"/>
  <c r="A423" i="1"/>
  <c r="B422" i="1"/>
  <c r="B418" i="1"/>
  <c r="B416" i="1"/>
  <c r="A411" i="1"/>
  <c r="B410" i="1"/>
  <c r="B406" i="1"/>
  <c r="B404" i="1"/>
  <c r="B403" i="1"/>
  <c r="B401" i="1"/>
  <c r="A399" i="1"/>
  <c r="B398" i="1"/>
  <c r="B394" i="1"/>
  <c r="B392" i="1"/>
  <c r="B391" i="1"/>
  <c r="B389" i="1"/>
  <c r="A387" i="1"/>
  <c r="B386" i="1"/>
  <c r="B382" i="1"/>
  <c r="B380" i="1"/>
  <c r="B379" i="1"/>
  <c r="B377" i="1"/>
  <c r="A375" i="1"/>
  <c r="B374" i="1"/>
  <c r="B370" i="1"/>
  <c r="B368" i="1"/>
  <c r="B367" i="1"/>
  <c r="B365" i="1"/>
  <c r="A363" i="1"/>
  <c r="B362" i="1"/>
  <c r="B358" i="1"/>
  <c r="B356" i="1"/>
  <c r="B355" i="1"/>
  <c r="B353" i="1"/>
  <c r="A351" i="1"/>
  <c r="B350" i="1"/>
  <c r="B346" i="1"/>
  <c r="B344" i="1"/>
  <c r="B343" i="1"/>
  <c r="B341" i="1"/>
  <c r="A339" i="1"/>
  <c r="B338" i="1"/>
  <c r="B334" i="1"/>
  <c r="B332" i="1"/>
  <c r="B331" i="1"/>
  <c r="B329" i="1"/>
  <c r="A327" i="1"/>
  <c r="B326" i="1"/>
  <c r="B322" i="1"/>
  <c r="B320" i="1"/>
  <c r="B319" i="1"/>
  <c r="B317" i="1"/>
  <c r="A315" i="1"/>
  <c r="B314" i="1"/>
  <c r="B310" i="1"/>
  <c r="B308" i="1"/>
  <c r="B307" i="1"/>
  <c r="B305" i="1"/>
  <c r="A303" i="1"/>
  <c r="B302" i="1"/>
  <c r="B298" i="1"/>
  <c r="B296" i="1"/>
  <c r="B295" i="1"/>
  <c r="B293" i="1"/>
  <c r="A291" i="1"/>
  <c r="B290" i="1"/>
  <c r="B286" i="1"/>
  <c r="B284" i="1"/>
  <c r="B283" i="1"/>
  <c r="B281" i="1"/>
  <c r="A279" i="1"/>
  <c r="B278" i="1"/>
  <c r="B274" i="1"/>
  <c r="B272" i="1"/>
  <c r="B271" i="1"/>
  <c r="B269" i="1"/>
  <c r="A267" i="1"/>
  <c r="B266" i="1"/>
  <c r="B262" i="1"/>
  <c r="B260" i="1"/>
  <c r="B259" i="1"/>
  <c r="B257" i="1"/>
  <c r="A255" i="1"/>
  <c r="B254" i="1"/>
  <c r="B250" i="1"/>
  <c r="B248" i="1"/>
  <c r="B247" i="1"/>
  <c r="B245" i="1"/>
  <c r="A243" i="1"/>
  <c r="B242" i="1"/>
  <c r="B238" i="1"/>
  <c r="B236" i="1"/>
  <c r="B235" i="1"/>
  <c r="B233" i="1"/>
  <c r="A231" i="1"/>
  <c r="B230" i="1"/>
  <c r="B226" i="1"/>
  <c r="B224" i="1"/>
  <c r="B223" i="1"/>
  <c r="B221" i="1"/>
  <c r="A219" i="1"/>
  <c r="B218" i="1"/>
  <c r="B214" i="1"/>
  <c r="B212" i="1"/>
  <c r="B211" i="1"/>
  <c r="B209" i="1"/>
  <c r="A207" i="1"/>
  <c r="B206" i="1"/>
  <c r="B202" i="1"/>
  <c r="B200" i="1"/>
  <c r="B199" i="1"/>
  <c r="B197" i="1"/>
  <c r="A195" i="1"/>
  <c r="B194" i="1"/>
  <c r="B190" i="1"/>
  <c r="B188" i="1"/>
  <c r="B187" i="1"/>
  <c r="B185" i="1"/>
  <c r="A183" i="1"/>
  <c r="B182" i="1"/>
  <c r="B178" i="1"/>
  <c r="B176" i="1"/>
  <c r="B175" i="1"/>
  <c r="B173" i="1"/>
  <c r="A171" i="1"/>
  <c r="B170" i="1"/>
  <c r="B166" i="1"/>
  <c r="B164" i="1"/>
  <c r="B163" i="1"/>
  <c r="B161" i="1"/>
  <c r="A159" i="1"/>
  <c r="B158" i="1"/>
  <c r="B154" i="1"/>
  <c r="B152" i="1"/>
  <c r="B151" i="1"/>
  <c r="B149" i="1"/>
  <c r="A147" i="1"/>
  <c r="B146" i="1"/>
  <c r="B142" i="1"/>
  <c r="B140" i="1"/>
  <c r="B137" i="1"/>
  <c r="A135" i="1"/>
  <c r="B134" i="1"/>
  <c r="B130" i="1"/>
  <c r="B128" i="1"/>
  <c r="B127" i="1"/>
  <c r="B125" i="1"/>
  <c r="A123" i="1"/>
  <c r="B122" i="1"/>
  <c r="B118" i="1"/>
  <c r="B116" i="1"/>
  <c r="B115" i="1"/>
  <c r="B113" i="1"/>
  <c r="A111" i="1"/>
  <c r="B110" i="1"/>
  <c r="B106" i="1"/>
  <c r="B104" i="1"/>
  <c r="B103" i="1"/>
  <c r="B101" i="1"/>
  <c r="A99" i="1"/>
  <c r="B98" i="1"/>
  <c r="B94" i="1"/>
  <c r="B92" i="1"/>
  <c r="B91" i="1"/>
  <c r="B89" i="1"/>
  <c r="A87" i="1"/>
  <c r="B86" i="1"/>
  <c r="B82" i="1"/>
  <c r="B80" i="1"/>
  <c r="B79" i="1"/>
  <c r="B77" i="1"/>
  <c r="A75" i="1"/>
  <c r="B74" i="1"/>
  <c r="B70" i="1"/>
  <c r="B68" i="1"/>
  <c r="B67" i="1"/>
  <c r="B65" i="1"/>
  <c r="A63" i="1"/>
  <c r="B62" i="1"/>
  <c r="B22" i="1"/>
  <c r="B20" i="1"/>
  <c r="B19" i="1"/>
  <c r="B17" i="1"/>
  <c r="A15" i="1"/>
  <c r="B14" i="1"/>
  <c r="B10" i="1"/>
  <c r="B8" i="1"/>
  <c r="B7" i="1"/>
  <c r="B5" i="1"/>
  <c r="A3" i="1"/>
  <c r="B2" i="1"/>
  <c r="B605" i="1" l="1"/>
  <c r="A459" i="1"/>
  <c r="B461" i="1"/>
  <c r="B466" i="1"/>
  <c r="B413" i="1"/>
  <c r="A51" i="1"/>
  <c r="B56" i="1"/>
  <c r="B58" i="1"/>
  <c r="B55" i="1"/>
  <c r="B53" i="1"/>
  <c r="B50" i="1"/>
  <c r="B32" i="1"/>
  <c r="B26" i="1"/>
  <c r="B31" i="1"/>
  <c r="A27" i="1"/>
  <c r="B29" i="1"/>
  <c r="B34" i="1"/>
  <c r="B43" i="1"/>
  <c r="A39" i="1"/>
  <c r="B41" i="1"/>
  <c r="B46" i="1"/>
  <c r="B38" i="1"/>
  <c r="B44" i="1"/>
</calcChain>
</file>

<file path=xl/sharedStrings.xml><?xml version="1.0" encoding="utf-8"?>
<sst xmlns="http://schemas.openxmlformats.org/spreadsheetml/2006/main" count="432" uniqueCount="6">
  <si>
    <t xml:space="preserve">    always_ff @(posedge CLK100M or negedge RESET_N) begin</t>
  </si>
  <si>
    <t xml:space="preserve">        if(!RESET_N)</t>
  </si>
  <si>
    <t xml:space="preserve">        else begin</t>
  </si>
  <si>
    <t xml:space="preserve">           else</t>
  </si>
  <si>
    <t xml:space="preserve">        end</t>
  </si>
  <si>
    <t xml:space="preserve">   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</si>
</sst>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864"/>
  <sheetViews>
    <sheetView tabSelected="1" zoomScale="70" zoomScaleNormal="70" workbookViewId="0">
      <selection activeCell="B708" sqref="B2:B708"/>
    </sheetView>
  </sheetViews>
  <sheetFormatPr defaultRowHeight="15" x14ac:dyDescent="0.3"/>
  <sheetData>
    <row r="2" spans="1:2" x14ac:dyDescent="0.3">
      <c r="A2">
        <v>5</v>
      </c>
      <c r="B2" t="str">
        <f>"    // Page Address Resister"&amp;A2</f>
        <v xml:space="preserve">    // Page Address Resister5</v>
      </c>
    </row>
    <row r="3" spans="1:2" x14ac:dyDescent="0.3">
      <c r="A3" t="str">
        <f>DEC2HEX(A2)</f>
        <v>5</v>
      </c>
      <c r="B3" t="s">
        <v>0</v>
      </c>
    </row>
    <row r="4" spans="1:2" x14ac:dyDescent="0.3">
      <c r="B4" t="s">
        <v>1</v>
      </c>
    </row>
    <row r="5" spans="1:2" x14ac:dyDescent="0.3">
      <c r="B5" t="str">
        <f>"            sr_paddr_dat["&amp;A2&amp;"]   &lt;= 24'h0;"</f>
        <v xml:space="preserve">            sr_paddr_dat[5]   &lt;= 24'h0;</v>
      </c>
    </row>
    <row r="6" spans="1:2" x14ac:dyDescent="0.3">
      <c r="B6" t="s">
        <v>2</v>
      </c>
    </row>
    <row r="7" spans="1:2" x14ac:dyDescent="0.3">
      <c r="B7" t="str">
        <f>"           if (PADDR_CNT == 6'h"&amp;A2&amp;")"</f>
        <v xml:space="preserve">           if (PADDR_CNT == 6'h5)</v>
      </c>
    </row>
    <row r="8" spans="1:2" x14ac:dyDescent="0.3">
      <c r="B8" t="str">
        <f>"               sr_paddr_dat["&amp;A2&amp;"]  &lt;= sr_page_paddr_buf;"</f>
        <v xml:space="preserve">               sr_paddr_dat[5]  &lt;= sr_page_paddr_buf;</v>
      </c>
    </row>
    <row r="9" spans="1:2" x14ac:dyDescent="0.3">
      <c r="B9" t="s">
        <v>3</v>
      </c>
    </row>
    <row r="10" spans="1:2" x14ac:dyDescent="0.3">
      <c r="B10" t="str">
        <f>"               sr_paddr_dat["&amp;A2&amp;"]  &lt;= sr_paddr_dat["&amp;A2&amp;"];"</f>
        <v xml:space="preserve">               sr_paddr_dat[5]  &lt;= sr_paddr_dat[5];</v>
      </c>
    </row>
    <row r="11" spans="1:2" x14ac:dyDescent="0.3">
      <c r="B11" t="s">
        <v>4</v>
      </c>
    </row>
    <row r="12" spans="1:2" x14ac:dyDescent="0.3">
      <c r="B12" t="s">
        <v>5</v>
      </c>
    </row>
    <row r="14" spans="1:2" x14ac:dyDescent="0.3">
      <c r="A14">
        <f>A2+1</f>
        <v>6</v>
      </c>
      <c r="B14" t="str">
        <f>"    // Page Address Resister"&amp;A14</f>
        <v xml:space="preserve">    // Page Address Resister6</v>
      </c>
    </row>
    <row r="15" spans="1:2" x14ac:dyDescent="0.3">
      <c r="A15" t="str">
        <f>DEC2HEX(A14)</f>
        <v>6</v>
      </c>
      <c r="B15" t="s">
        <v>0</v>
      </c>
    </row>
    <row r="16" spans="1:2" x14ac:dyDescent="0.3">
      <c r="B16" t="s">
        <v>1</v>
      </c>
    </row>
    <row r="17" spans="1:2" x14ac:dyDescent="0.3">
      <c r="B17" t="str">
        <f>"            sr_paddr_dat["&amp;A14&amp;"]   &lt;= 24'h0;"</f>
        <v xml:space="preserve">            sr_paddr_dat[6]   &lt;= 24'h0;</v>
      </c>
    </row>
    <row r="18" spans="1:2" x14ac:dyDescent="0.3">
      <c r="B18" t="s">
        <v>2</v>
      </c>
    </row>
    <row r="19" spans="1:2" x14ac:dyDescent="0.3">
      <c r="B19" t="str">
        <f>"           if (PADDR_CNT == 6'h"&amp;A14&amp;")"</f>
        <v xml:space="preserve">           if (PADDR_CNT == 6'h6)</v>
      </c>
    </row>
    <row r="20" spans="1:2" x14ac:dyDescent="0.3">
      <c r="B20" t="str">
        <f>"               sr_paddr_dat["&amp;A14&amp;"]  &lt;= sr_page_paddr_buf;"</f>
        <v xml:space="preserve">               sr_paddr_dat[6]  &lt;= sr_page_paddr_buf;</v>
      </c>
    </row>
    <row r="21" spans="1:2" x14ac:dyDescent="0.3">
      <c r="B21" t="s">
        <v>3</v>
      </c>
    </row>
    <row r="22" spans="1:2" x14ac:dyDescent="0.3">
      <c r="B22" t="str">
        <f>"               sr_paddr_dat["&amp;A14&amp;"]  &lt;= sr_paddr_dat["&amp;A14&amp;"];"</f>
        <v xml:space="preserve">               sr_paddr_dat[6]  &lt;= sr_paddr_dat[6];</v>
      </c>
    </row>
    <row r="23" spans="1:2" x14ac:dyDescent="0.3">
      <c r="B23" t="s">
        <v>4</v>
      </c>
    </row>
    <row r="24" spans="1:2" x14ac:dyDescent="0.3">
      <c r="B24" t="s">
        <v>5</v>
      </c>
    </row>
    <row r="26" spans="1:2" x14ac:dyDescent="0.3">
      <c r="A26">
        <f>A14+1</f>
        <v>7</v>
      </c>
      <c r="B26" t="str">
        <f>"    // Page Address Resister"&amp;A26</f>
        <v xml:space="preserve">    // Page Address Resister7</v>
      </c>
    </row>
    <row r="27" spans="1:2" x14ac:dyDescent="0.3">
      <c r="A27" t="str">
        <f t="shared" ref="A27" si="0">DEC2HEX(A26)</f>
        <v>7</v>
      </c>
      <c r="B27" t="s">
        <v>0</v>
      </c>
    </row>
    <row r="28" spans="1:2" x14ac:dyDescent="0.3">
      <c r="B28" t="s">
        <v>1</v>
      </c>
    </row>
    <row r="29" spans="1:2" x14ac:dyDescent="0.3">
      <c r="B29" t="str">
        <f>"            sr_paddr_dat["&amp;A26&amp;"]   &lt;= 24'h0;"</f>
        <v xml:space="preserve">            sr_paddr_dat[7]   &lt;= 24'h0;</v>
      </c>
    </row>
    <row r="30" spans="1:2" x14ac:dyDescent="0.3">
      <c r="B30" t="s">
        <v>2</v>
      </c>
    </row>
    <row r="31" spans="1:2" x14ac:dyDescent="0.3">
      <c r="B31" t="str">
        <f>"           if (PADDR_CNT == 6'h"&amp;A26&amp;")"</f>
        <v xml:space="preserve">           if (PADDR_CNT == 6'h7)</v>
      </c>
    </row>
    <row r="32" spans="1:2" x14ac:dyDescent="0.3">
      <c r="B32" t="str">
        <f>"               sr_paddr_dat["&amp;A26&amp;"]  &lt;= sr_page_paddr_buf;"</f>
        <v xml:space="preserve">               sr_paddr_dat[7]  &lt;= sr_page_paddr_buf;</v>
      </c>
    </row>
    <row r="33" spans="1:2" x14ac:dyDescent="0.3">
      <c r="B33" t="s">
        <v>3</v>
      </c>
    </row>
    <row r="34" spans="1:2" x14ac:dyDescent="0.3">
      <c r="B34" t="str">
        <f>"               sr_paddr_dat["&amp;A26&amp;"]  &lt;= sr_paddr_dat["&amp;A26&amp;"];"</f>
        <v xml:space="preserve">               sr_paddr_dat[7]  &lt;= sr_paddr_dat[7];</v>
      </c>
    </row>
    <row r="35" spans="1:2" x14ac:dyDescent="0.3">
      <c r="B35" t="s">
        <v>4</v>
      </c>
    </row>
    <row r="36" spans="1:2" x14ac:dyDescent="0.3">
      <c r="B36" t="s">
        <v>5</v>
      </c>
    </row>
    <row r="38" spans="1:2" x14ac:dyDescent="0.3">
      <c r="A38">
        <f>A26+1</f>
        <v>8</v>
      </c>
      <c r="B38" t="str">
        <f>"    // Page Address Resister"&amp;A38</f>
        <v xml:space="preserve">    // Page Address Resister8</v>
      </c>
    </row>
    <row r="39" spans="1:2" x14ac:dyDescent="0.3">
      <c r="A39" t="str">
        <f t="shared" ref="A39" si="1">DEC2HEX(A38)</f>
        <v>8</v>
      </c>
      <c r="B39" t="s">
        <v>0</v>
      </c>
    </row>
    <row r="40" spans="1:2" x14ac:dyDescent="0.3">
      <c r="B40" t="s">
        <v>1</v>
      </c>
    </row>
    <row r="41" spans="1:2" x14ac:dyDescent="0.3">
      <c r="B41" t="str">
        <f>"            sr_paddr_dat["&amp;A38&amp;"]   &lt;= 24'h0;"</f>
        <v xml:space="preserve">            sr_paddr_dat[8]   &lt;= 24'h0;</v>
      </c>
    </row>
    <row r="42" spans="1:2" x14ac:dyDescent="0.3">
      <c r="B42" t="s">
        <v>2</v>
      </c>
    </row>
    <row r="43" spans="1:2" x14ac:dyDescent="0.3">
      <c r="B43" t="str">
        <f>"           if (PADDR_CNT == 6'h"&amp;A38&amp;")"</f>
        <v xml:space="preserve">           if (PADDR_CNT == 6'h8)</v>
      </c>
    </row>
    <row r="44" spans="1:2" x14ac:dyDescent="0.3">
      <c r="B44" t="str">
        <f>"               sr_paddr_dat["&amp;A38&amp;"]  &lt;= sr_page_paddr_buf;"</f>
        <v xml:space="preserve">               sr_paddr_dat[8]  &lt;= sr_page_paddr_buf;</v>
      </c>
    </row>
    <row r="45" spans="1:2" x14ac:dyDescent="0.3">
      <c r="B45" t="s">
        <v>3</v>
      </c>
    </row>
    <row r="46" spans="1:2" x14ac:dyDescent="0.3">
      <c r="B46" t="str">
        <f>"               sr_paddr_dat["&amp;A38&amp;"]  &lt;= sr_paddr_dat["&amp;A38&amp;"];"</f>
        <v xml:space="preserve">               sr_paddr_dat[8]  &lt;= sr_paddr_dat[8];</v>
      </c>
    </row>
    <row r="47" spans="1:2" x14ac:dyDescent="0.3">
      <c r="B47" t="s">
        <v>4</v>
      </c>
    </row>
    <row r="48" spans="1:2" x14ac:dyDescent="0.3">
      <c r="B48" t="s">
        <v>5</v>
      </c>
    </row>
    <row r="50" spans="1:2" x14ac:dyDescent="0.3">
      <c r="A50">
        <f>A38+1</f>
        <v>9</v>
      </c>
      <c r="B50" t="str">
        <f>"    // Page Address Resister"&amp;A50</f>
        <v xml:space="preserve">    // Page Address Resister9</v>
      </c>
    </row>
    <row r="51" spans="1:2" x14ac:dyDescent="0.3">
      <c r="A51" t="str">
        <f t="shared" ref="A51:A61" si="2">DEC2HEX(A50)</f>
        <v>9</v>
      </c>
      <c r="B51" t="s">
        <v>0</v>
      </c>
    </row>
    <row r="52" spans="1:2" x14ac:dyDescent="0.3">
      <c r="B52" t="s">
        <v>1</v>
      </c>
    </row>
    <row r="53" spans="1:2" x14ac:dyDescent="0.3">
      <c r="B53" t="str">
        <f>"            sr_paddr_dat["&amp;A50&amp;"]   &lt;= 24'h0;"</f>
        <v xml:space="preserve">            sr_paddr_dat[9]   &lt;= 24'h0;</v>
      </c>
    </row>
    <row r="54" spans="1:2" x14ac:dyDescent="0.3">
      <c r="B54" t="s">
        <v>2</v>
      </c>
    </row>
    <row r="55" spans="1:2" x14ac:dyDescent="0.3">
      <c r="B55" t="str">
        <f>"           if (PADDR_CNT == 6'h"&amp;A50&amp;")"</f>
        <v xml:space="preserve">           if (PADDR_CNT == 6'h9)</v>
      </c>
    </row>
    <row r="56" spans="1:2" x14ac:dyDescent="0.3">
      <c r="B56" t="str">
        <f>"               sr_paddr_dat["&amp;A50&amp;"]  &lt;= sr_page_paddr_buf;"</f>
        <v xml:space="preserve">               sr_paddr_dat[9]  &lt;= sr_page_paddr_buf;</v>
      </c>
    </row>
    <row r="57" spans="1:2" x14ac:dyDescent="0.3">
      <c r="B57" t="s">
        <v>3</v>
      </c>
    </row>
    <row r="58" spans="1:2" x14ac:dyDescent="0.3">
      <c r="B58" t="str">
        <f>"               sr_paddr_dat["&amp;A50&amp;"]  &lt;= sr_paddr_dat["&amp;A50&amp;"];"</f>
        <v xml:space="preserve">               sr_paddr_dat[9]  &lt;= sr_paddr_dat[9];</v>
      </c>
    </row>
    <row r="59" spans="1:2" x14ac:dyDescent="0.3">
      <c r="B59" t="s">
        <v>4</v>
      </c>
    </row>
    <row r="60" spans="1:2" x14ac:dyDescent="0.3">
      <c r="B60" t="s">
        <v>5</v>
      </c>
    </row>
    <row r="62" spans="1:2" x14ac:dyDescent="0.3">
      <c r="A62">
        <f>A50+1</f>
        <v>10</v>
      </c>
      <c r="B62" t="str">
        <f>"    // Page Address Resister"&amp;A62</f>
        <v xml:space="preserve">    // Page Address Resister10</v>
      </c>
    </row>
    <row r="63" spans="1:2" x14ac:dyDescent="0.3">
      <c r="A63" t="str">
        <f>DEC2HEX(A62)</f>
        <v>A</v>
      </c>
      <c r="B63" t="s">
        <v>0</v>
      </c>
    </row>
    <row r="64" spans="1:2" x14ac:dyDescent="0.3">
      <c r="B64" t="s">
        <v>1</v>
      </c>
    </row>
    <row r="65" spans="1:2" x14ac:dyDescent="0.3">
      <c r="B65" t="str">
        <f>"            sr_paddr_dat["&amp;A62&amp;"]   &lt;= 24'h0;"</f>
        <v xml:space="preserve">            sr_paddr_dat[10]   &lt;= 24'h0;</v>
      </c>
    </row>
    <row r="66" spans="1:2" x14ac:dyDescent="0.3">
      <c r="B66" t="s">
        <v>2</v>
      </c>
    </row>
    <row r="67" spans="1:2" x14ac:dyDescent="0.3">
      <c r="B67" t="str">
        <f>"           if (PADDR_CNT == 6'h"&amp;A62&amp;")"</f>
        <v xml:space="preserve">           if (PADDR_CNT == 6'h10)</v>
      </c>
    </row>
    <row r="68" spans="1:2" x14ac:dyDescent="0.3">
      <c r="B68" t="str">
        <f>"               sr_paddr_dat["&amp;A62&amp;"]  &lt;= sr_page_paddr_buf;"</f>
        <v xml:space="preserve">               sr_paddr_dat[10]  &lt;= sr_page_paddr_buf;</v>
      </c>
    </row>
    <row r="69" spans="1:2" x14ac:dyDescent="0.3">
      <c r="B69" t="s">
        <v>3</v>
      </c>
    </row>
    <row r="70" spans="1:2" x14ac:dyDescent="0.3">
      <c r="B70" t="str">
        <f>"               sr_paddr_dat["&amp;A62&amp;"]  &lt;= sr_paddr_dat["&amp;A62&amp;"];"</f>
        <v xml:space="preserve">               sr_paddr_dat[10]  &lt;= sr_paddr_dat[10];</v>
      </c>
    </row>
    <row r="71" spans="1:2" x14ac:dyDescent="0.3">
      <c r="B71" t="s">
        <v>4</v>
      </c>
    </row>
    <row r="72" spans="1:2" x14ac:dyDescent="0.3">
      <c r="B72" t="s">
        <v>5</v>
      </c>
    </row>
    <row r="74" spans="1:2" x14ac:dyDescent="0.3">
      <c r="A74">
        <f>A62+1</f>
        <v>11</v>
      </c>
      <c r="B74" t="str">
        <f>"    // Page Address Resister"&amp;A74</f>
        <v xml:space="preserve">    // Page Address Resister11</v>
      </c>
    </row>
    <row r="75" spans="1:2" x14ac:dyDescent="0.3">
      <c r="A75" t="str">
        <f>DEC2HEX(A74)</f>
        <v>B</v>
      </c>
      <c r="B75" t="s">
        <v>0</v>
      </c>
    </row>
    <row r="76" spans="1:2" x14ac:dyDescent="0.3">
      <c r="B76" t="s">
        <v>1</v>
      </c>
    </row>
    <row r="77" spans="1:2" x14ac:dyDescent="0.3">
      <c r="B77" t="str">
        <f>"            sr_paddr_dat["&amp;A74&amp;"]   &lt;= 24'h0;"</f>
        <v xml:space="preserve">            sr_paddr_dat[11]   &lt;= 24'h0;</v>
      </c>
    </row>
    <row r="78" spans="1:2" x14ac:dyDescent="0.3">
      <c r="B78" t="s">
        <v>2</v>
      </c>
    </row>
    <row r="79" spans="1:2" x14ac:dyDescent="0.3">
      <c r="B79" t="str">
        <f>"           if (PADDR_CNT == 6'h"&amp;A74&amp;")"</f>
        <v xml:space="preserve">           if (PADDR_CNT == 6'h11)</v>
      </c>
    </row>
    <row r="80" spans="1:2" x14ac:dyDescent="0.3">
      <c r="B80" t="str">
        <f>"               sr_paddr_dat["&amp;A74&amp;"]  &lt;= sr_page_paddr_buf;"</f>
        <v xml:space="preserve">               sr_paddr_dat[11]  &lt;= sr_page_paddr_buf;</v>
      </c>
    </row>
    <row r="81" spans="1:2" x14ac:dyDescent="0.3">
      <c r="B81" t="s">
        <v>3</v>
      </c>
    </row>
    <row r="82" spans="1:2" x14ac:dyDescent="0.3">
      <c r="B82" t="str">
        <f>"               sr_paddr_dat["&amp;A74&amp;"]  &lt;= sr_paddr_dat["&amp;A74&amp;"];"</f>
        <v xml:space="preserve">               sr_paddr_dat[11]  &lt;= sr_paddr_dat[11];</v>
      </c>
    </row>
    <row r="83" spans="1:2" x14ac:dyDescent="0.3">
      <c r="B83" t="s">
        <v>4</v>
      </c>
    </row>
    <row r="84" spans="1:2" x14ac:dyDescent="0.3">
      <c r="B84" t="s">
        <v>5</v>
      </c>
    </row>
    <row r="86" spans="1:2" x14ac:dyDescent="0.3">
      <c r="A86">
        <f>A74+1</f>
        <v>12</v>
      </c>
      <c r="B86" t="str">
        <f>"    // Page Address Resister"&amp;A86</f>
        <v xml:space="preserve">    // Page Address Resister12</v>
      </c>
    </row>
    <row r="87" spans="1:2" x14ac:dyDescent="0.3">
      <c r="A87" t="str">
        <f>DEC2HEX(A86)</f>
        <v>C</v>
      </c>
      <c r="B87" t="s">
        <v>0</v>
      </c>
    </row>
    <row r="88" spans="1:2" x14ac:dyDescent="0.3">
      <c r="B88" t="s">
        <v>1</v>
      </c>
    </row>
    <row r="89" spans="1:2" x14ac:dyDescent="0.3">
      <c r="B89" t="str">
        <f>"            sr_paddr_dat["&amp;A86&amp;"]   &lt;= 24'h0;"</f>
        <v xml:space="preserve">            sr_paddr_dat[12]   &lt;= 24'h0;</v>
      </c>
    </row>
    <row r="90" spans="1:2" x14ac:dyDescent="0.3">
      <c r="B90" t="s">
        <v>2</v>
      </c>
    </row>
    <row r="91" spans="1:2" x14ac:dyDescent="0.3">
      <c r="B91" t="str">
        <f>"           if (PADDR_CNT == 6'h"&amp;A86&amp;")"</f>
        <v xml:space="preserve">           if (PADDR_CNT == 6'h12)</v>
      </c>
    </row>
    <row r="92" spans="1:2" x14ac:dyDescent="0.3">
      <c r="B92" t="str">
        <f>"               sr_paddr_dat["&amp;A86&amp;"]  &lt;= sr_page_paddr_buf;"</f>
        <v xml:space="preserve">               sr_paddr_dat[12]  &lt;= sr_page_paddr_buf;</v>
      </c>
    </row>
    <row r="93" spans="1:2" x14ac:dyDescent="0.3">
      <c r="B93" t="s">
        <v>3</v>
      </c>
    </row>
    <row r="94" spans="1:2" x14ac:dyDescent="0.3">
      <c r="B94" t="str">
        <f>"               sr_paddr_dat["&amp;A86&amp;"]  &lt;= sr_paddr_dat["&amp;A86&amp;"];"</f>
        <v xml:space="preserve">               sr_paddr_dat[12]  &lt;= sr_paddr_dat[12];</v>
      </c>
    </row>
    <row r="95" spans="1:2" x14ac:dyDescent="0.3">
      <c r="B95" t="s">
        <v>4</v>
      </c>
    </row>
    <row r="96" spans="1:2" x14ac:dyDescent="0.3">
      <c r="B96" t="s">
        <v>5</v>
      </c>
    </row>
    <row r="98" spans="1:2" x14ac:dyDescent="0.3">
      <c r="A98">
        <f>A86+1</f>
        <v>13</v>
      </c>
      <c r="B98" t="str">
        <f>"    // Page Address Resister"&amp;A98</f>
        <v xml:space="preserve">    // Page Address Resister13</v>
      </c>
    </row>
    <row r="99" spans="1:2" x14ac:dyDescent="0.3">
      <c r="A99" t="str">
        <f>DEC2HEX(A98)</f>
        <v>D</v>
      </c>
      <c r="B99" t="s">
        <v>0</v>
      </c>
    </row>
    <row r="100" spans="1:2" x14ac:dyDescent="0.3">
      <c r="B100" t="s">
        <v>1</v>
      </c>
    </row>
    <row r="101" spans="1:2" x14ac:dyDescent="0.3">
      <c r="B101" t="str">
        <f>"            sr_paddr_dat["&amp;A98&amp;"]   &lt;= 24'h0;"</f>
        <v xml:space="preserve">            sr_paddr_dat[13]   &lt;= 24'h0;</v>
      </c>
    </row>
    <row r="102" spans="1:2" x14ac:dyDescent="0.3">
      <c r="B102" t="s">
        <v>2</v>
      </c>
    </row>
    <row r="103" spans="1:2" x14ac:dyDescent="0.3">
      <c r="B103" t="str">
        <f>"           if (PADDR_CNT == 6'h"&amp;A98&amp;")"</f>
        <v xml:space="preserve">           if (PADDR_CNT == 6'h13)</v>
      </c>
    </row>
    <row r="104" spans="1:2" x14ac:dyDescent="0.3">
      <c r="B104" t="str">
        <f>"               sr_paddr_dat["&amp;A98&amp;"]  &lt;= sr_page_paddr_buf;"</f>
        <v xml:space="preserve">               sr_paddr_dat[13]  &lt;= sr_page_paddr_buf;</v>
      </c>
    </row>
    <row r="105" spans="1:2" x14ac:dyDescent="0.3">
      <c r="B105" t="s">
        <v>3</v>
      </c>
    </row>
    <row r="106" spans="1:2" x14ac:dyDescent="0.3">
      <c r="B106" t="str">
        <f>"               sr_paddr_dat["&amp;A98&amp;"]  &lt;= sr_paddr_dat["&amp;A98&amp;"];"</f>
        <v xml:space="preserve">               sr_paddr_dat[13]  &lt;= sr_paddr_dat[13];</v>
      </c>
    </row>
    <row r="107" spans="1:2" x14ac:dyDescent="0.3">
      <c r="B107" t="s">
        <v>4</v>
      </c>
    </row>
    <row r="108" spans="1:2" x14ac:dyDescent="0.3">
      <c r="B108" t="s">
        <v>5</v>
      </c>
    </row>
    <row r="110" spans="1:2" x14ac:dyDescent="0.3">
      <c r="A110">
        <f>A98+1</f>
        <v>14</v>
      </c>
      <c r="B110" t="str">
        <f>"    // Page Address Resister"&amp;A110</f>
        <v xml:space="preserve">    // Page Address Resister14</v>
      </c>
    </row>
    <row r="111" spans="1:2" x14ac:dyDescent="0.3">
      <c r="A111" t="str">
        <f>DEC2HEX(A110)</f>
        <v>E</v>
      </c>
      <c r="B111" t="s">
        <v>0</v>
      </c>
    </row>
    <row r="112" spans="1:2" x14ac:dyDescent="0.3">
      <c r="B112" t="s">
        <v>1</v>
      </c>
    </row>
    <row r="113" spans="1:2" x14ac:dyDescent="0.3">
      <c r="B113" t="str">
        <f>"            sr_paddr_dat["&amp;A110&amp;"]   &lt;= 24'h0;"</f>
        <v xml:space="preserve">            sr_paddr_dat[14]   &lt;= 24'h0;</v>
      </c>
    </row>
    <row r="114" spans="1:2" x14ac:dyDescent="0.3">
      <c r="B114" t="s">
        <v>2</v>
      </c>
    </row>
    <row r="115" spans="1:2" x14ac:dyDescent="0.3">
      <c r="B115" t="str">
        <f>"           if (PADDR_CNT == 6'h"&amp;A110&amp;")"</f>
        <v xml:space="preserve">           if (PADDR_CNT == 6'h14)</v>
      </c>
    </row>
    <row r="116" spans="1:2" x14ac:dyDescent="0.3">
      <c r="B116" t="str">
        <f>"               sr_paddr_dat["&amp;A110&amp;"]  &lt;= sr_page_paddr_buf;"</f>
        <v xml:space="preserve">               sr_paddr_dat[14]  &lt;= sr_page_paddr_buf;</v>
      </c>
    </row>
    <row r="117" spans="1:2" x14ac:dyDescent="0.3">
      <c r="B117" t="s">
        <v>3</v>
      </c>
    </row>
    <row r="118" spans="1:2" x14ac:dyDescent="0.3">
      <c r="B118" t="str">
        <f>"               sr_paddr_dat["&amp;A110&amp;"]  &lt;= sr_paddr_dat["&amp;A110&amp;"];"</f>
        <v xml:space="preserve">               sr_paddr_dat[14]  &lt;= sr_paddr_dat[14];</v>
      </c>
    </row>
    <row r="119" spans="1:2" x14ac:dyDescent="0.3">
      <c r="B119" t="s">
        <v>4</v>
      </c>
    </row>
    <row r="120" spans="1:2" x14ac:dyDescent="0.3">
      <c r="B120" t="s">
        <v>5</v>
      </c>
    </row>
    <row r="122" spans="1:2" x14ac:dyDescent="0.3">
      <c r="A122">
        <f>A110+1</f>
        <v>15</v>
      </c>
      <c r="B122" t="str">
        <f>"    // Page Address Resister"&amp;A122</f>
        <v xml:space="preserve">    // Page Address Resister15</v>
      </c>
    </row>
    <row r="123" spans="1:2" x14ac:dyDescent="0.3">
      <c r="A123" t="str">
        <f>DEC2HEX(A122)</f>
        <v>F</v>
      </c>
      <c r="B123" t="s">
        <v>0</v>
      </c>
    </row>
    <row r="124" spans="1:2" x14ac:dyDescent="0.3">
      <c r="B124" t="s">
        <v>1</v>
      </c>
    </row>
    <row r="125" spans="1:2" x14ac:dyDescent="0.3">
      <c r="B125" t="str">
        <f>"            sr_paddr_dat["&amp;A122&amp;"]   &lt;= 24'h0;"</f>
        <v xml:space="preserve">            sr_paddr_dat[15]   &lt;= 24'h0;</v>
      </c>
    </row>
    <row r="126" spans="1:2" x14ac:dyDescent="0.3">
      <c r="B126" t="s">
        <v>2</v>
      </c>
    </row>
    <row r="127" spans="1:2" x14ac:dyDescent="0.3">
      <c r="B127" t="str">
        <f>"           if (PADDR_CNT == 6'h"&amp;A122&amp;")"</f>
        <v xml:space="preserve">           if (PADDR_CNT == 6'h15)</v>
      </c>
    </row>
    <row r="128" spans="1:2" x14ac:dyDescent="0.3">
      <c r="B128" t="str">
        <f>"               sr_paddr_dat["&amp;A122&amp;"]  &lt;= sr_page_paddr_buf;"</f>
        <v xml:space="preserve">               sr_paddr_dat[15]  &lt;= sr_page_paddr_buf;</v>
      </c>
    </row>
    <row r="129" spans="1:2" x14ac:dyDescent="0.3">
      <c r="B129" t="s">
        <v>3</v>
      </c>
    </row>
    <row r="130" spans="1:2" x14ac:dyDescent="0.3">
      <c r="B130" t="str">
        <f>"               sr_paddr_dat["&amp;A122&amp;"]  &lt;= sr_paddr_dat["&amp;A122&amp;"];"</f>
        <v xml:space="preserve">               sr_paddr_dat[15]  &lt;= sr_paddr_dat[15];</v>
      </c>
    </row>
    <row r="131" spans="1:2" x14ac:dyDescent="0.3">
      <c r="B131" t="s">
        <v>4</v>
      </c>
    </row>
    <row r="132" spans="1:2" x14ac:dyDescent="0.3">
      <c r="B132" t="s">
        <v>5</v>
      </c>
    </row>
    <row r="134" spans="1:2" x14ac:dyDescent="0.3">
      <c r="A134">
        <f>A122+1</f>
        <v>16</v>
      </c>
      <c r="B134" t="str">
        <f>"    // Page Address Resister"&amp;A134</f>
        <v xml:space="preserve">    // Page Address Resister16</v>
      </c>
    </row>
    <row r="135" spans="1:2" x14ac:dyDescent="0.3">
      <c r="A135" t="str">
        <f>DEC2HEX(A134)</f>
        <v>10</v>
      </c>
      <c r="B135" t="s">
        <v>0</v>
      </c>
    </row>
    <row r="136" spans="1:2" x14ac:dyDescent="0.3">
      <c r="B136" t="s">
        <v>1</v>
      </c>
    </row>
    <row r="137" spans="1:2" x14ac:dyDescent="0.3">
      <c r="B137" t="str">
        <f>"            sr_paddr_dat["&amp;A134&amp;"]   &lt;= 24'h0;"</f>
        <v xml:space="preserve">            sr_paddr_dat[16]   &lt;= 24'h0;</v>
      </c>
    </row>
    <row r="138" spans="1:2" x14ac:dyDescent="0.3">
      <c r="B138" t="s">
        <v>2</v>
      </c>
    </row>
    <row r="139" spans="1:2" x14ac:dyDescent="0.3">
      <c r="B139" t="str">
        <f>"           if (PADDR_CNT == 6'h"&amp;A134&amp;")"</f>
        <v xml:space="preserve">           if (PADDR_CNT == 6'h16)</v>
      </c>
    </row>
    <row r="140" spans="1:2" x14ac:dyDescent="0.3">
      <c r="B140" t="str">
        <f>"               sr_paddr_dat["&amp;A134&amp;"]  &lt;= sr_page_paddr_buf;"</f>
        <v xml:space="preserve">               sr_paddr_dat[16]  &lt;= sr_page_paddr_buf;</v>
      </c>
    </row>
    <row r="141" spans="1:2" x14ac:dyDescent="0.3">
      <c r="B141" t="s">
        <v>3</v>
      </c>
    </row>
    <row r="142" spans="1:2" x14ac:dyDescent="0.3">
      <c r="B142" t="str">
        <f>"               sr_paddr_dat["&amp;A134&amp;"]  &lt;= sr_paddr_dat["&amp;A134&amp;"];"</f>
        <v xml:space="preserve">               sr_paddr_dat[16]  &lt;= sr_paddr_dat[16];</v>
      </c>
    </row>
    <row r="143" spans="1:2" x14ac:dyDescent="0.3">
      <c r="B143" t="s">
        <v>4</v>
      </c>
    </row>
    <row r="144" spans="1:2" x14ac:dyDescent="0.3">
      <c r="B144" t="s">
        <v>5</v>
      </c>
    </row>
    <row r="146" spans="1:2" x14ac:dyDescent="0.3">
      <c r="A146">
        <f>A134+1</f>
        <v>17</v>
      </c>
      <c r="B146" t="str">
        <f>"    // Page Address Resister"&amp;A146</f>
        <v xml:space="preserve">    // Page Address Resister17</v>
      </c>
    </row>
    <row r="147" spans="1:2" x14ac:dyDescent="0.3">
      <c r="A147" t="str">
        <f>DEC2HEX(A146)</f>
        <v>11</v>
      </c>
      <c r="B147" t="s">
        <v>0</v>
      </c>
    </row>
    <row r="148" spans="1:2" x14ac:dyDescent="0.3">
      <c r="B148" t="s">
        <v>1</v>
      </c>
    </row>
    <row r="149" spans="1:2" x14ac:dyDescent="0.3">
      <c r="B149" t="str">
        <f>"            sr_paddr_dat["&amp;A146&amp;"]   &lt;= 24'h0;"</f>
        <v xml:space="preserve">            sr_paddr_dat[17]   &lt;= 24'h0;</v>
      </c>
    </row>
    <row r="150" spans="1:2" x14ac:dyDescent="0.3">
      <c r="B150" t="s">
        <v>2</v>
      </c>
    </row>
    <row r="151" spans="1:2" x14ac:dyDescent="0.3">
      <c r="B151" t="str">
        <f>"           if (PADDR_CNT == 6'h"&amp;A146&amp;")"</f>
        <v xml:space="preserve">           if (PADDR_CNT == 6'h17)</v>
      </c>
    </row>
    <row r="152" spans="1:2" x14ac:dyDescent="0.3">
      <c r="B152" t="str">
        <f>"               sr_paddr_dat["&amp;A146&amp;"]  &lt;= sr_page_paddr_buf;"</f>
        <v xml:space="preserve">               sr_paddr_dat[17]  &lt;= sr_page_paddr_buf;</v>
      </c>
    </row>
    <row r="153" spans="1:2" x14ac:dyDescent="0.3">
      <c r="B153" t="s">
        <v>3</v>
      </c>
    </row>
    <row r="154" spans="1:2" x14ac:dyDescent="0.3">
      <c r="B154" t="str">
        <f>"               sr_paddr_dat["&amp;A146&amp;"]  &lt;= sr_paddr_dat["&amp;A146&amp;"];"</f>
        <v xml:space="preserve">               sr_paddr_dat[17]  &lt;= sr_paddr_dat[17];</v>
      </c>
    </row>
    <row r="155" spans="1:2" x14ac:dyDescent="0.3">
      <c r="B155" t="s">
        <v>4</v>
      </c>
    </row>
    <row r="156" spans="1:2" x14ac:dyDescent="0.3">
      <c r="B156" t="s">
        <v>5</v>
      </c>
    </row>
    <row r="158" spans="1:2" x14ac:dyDescent="0.3">
      <c r="A158">
        <f>A146+1</f>
        <v>18</v>
      </c>
      <c r="B158" t="str">
        <f>"    // Page Address Resister"&amp;A158</f>
        <v xml:space="preserve">    // Page Address Resister18</v>
      </c>
    </row>
    <row r="159" spans="1:2" x14ac:dyDescent="0.3">
      <c r="A159" t="str">
        <f>DEC2HEX(A158)</f>
        <v>12</v>
      </c>
      <c r="B159" t="s">
        <v>0</v>
      </c>
    </row>
    <row r="160" spans="1:2" x14ac:dyDescent="0.3">
      <c r="B160" t="s">
        <v>1</v>
      </c>
    </row>
    <row r="161" spans="1:2" x14ac:dyDescent="0.3">
      <c r="B161" t="str">
        <f>"            sr_paddr_dat["&amp;A158&amp;"]   &lt;= 24'h0;"</f>
        <v xml:space="preserve">            sr_paddr_dat[18]   &lt;= 24'h0;</v>
      </c>
    </row>
    <row r="162" spans="1:2" x14ac:dyDescent="0.3">
      <c r="B162" t="s">
        <v>2</v>
      </c>
    </row>
    <row r="163" spans="1:2" x14ac:dyDescent="0.3">
      <c r="B163" t="str">
        <f>"           if (PADDR_CNT == 6'h"&amp;A158&amp;")"</f>
        <v xml:space="preserve">           if (PADDR_CNT == 6'h18)</v>
      </c>
    </row>
    <row r="164" spans="1:2" x14ac:dyDescent="0.3">
      <c r="B164" t="str">
        <f>"               sr_paddr_dat["&amp;A158&amp;"]  &lt;= sr_page_paddr_buf;"</f>
        <v xml:space="preserve">               sr_paddr_dat[18]  &lt;= sr_page_paddr_buf;</v>
      </c>
    </row>
    <row r="165" spans="1:2" x14ac:dyDescent="0.3">
      <c r="B165" t="s">
        <v>3</v>
      </c>
    </row>
    <row r="166" spans="1:2" x14ac:dyDescent="0.3">
      <c r="B166" t="str">
        <f>"               sr_paddr_dat["&amp;A158&amp;"]  &lt;= sr_paddr_dat["&amp;A158&amp;"];"</f>
        <v xml:space="preserve">               sr_paddr_dat[18]  &lt;= sr_paddr_dat[18];</v>
      </c>
    </row>
    <row r="167" spans="1:2" x14ac:dyDescent="0.3">
      <c r="B167" t="s">
        <v>4</v>
      </c>
    </row>
    <row r="168" spans="1:2" x14ac:dyDescent="0.3">
      <c r="B168" t="s">
        <v>5</v>
      </c>
    </row>
    <row r="170" spans="1:2" x14ac:dyDescent="0.3">
      <c r="A170">
        <f>A158+1</f>
        <v>19</v>
      </c>
      <c r="B170" t="str">
        <f>"    // Page Address Resister"&amp;A170</f>
        <v xml:space="preserve">    // Page Address Resister19</v>
      </c>
    </row>
    <row r="171" spans="1:2" x14ac:dyDescent="0.3">
      <c r="A171" t="str">
        <f>DEC2HEX(A170)</f>
        <v>13</v>
      </c>
      <c r="B171" t="s">
        <v>0</v>
      </c>
    </row>
    <row r="172" spans="1:2" x14ac:dyDescent="0.3">
      <c r="B172" t="s">
        <v>1</v>
      </c>
    </row>
    <row r="173" spans="1:2" x14ac:dyDescent="0.3">
      <c r="B173" t="str">
        <f>"            sr_paddr_dat["&amp;A170&amp;"]   &lt;= 24'h0;"</f>
        <v xml:space="preserve">            sr_paddr_dat[19]   &lt;= 24'h0;</v>
      </c>
    </row>
    <row r="174" spans="1:2" x14ac:dyDescent="0.3">
      <c r="B174" t="s">
        <v>2</v>
      </c>
    </row>
    <row r="175" spans="1:2" x14ac:dyDescent="0.3">
      <c r="B175" t="str">
        <f>"           if (PADDR_CNT == 6'h"&amp;A170&amp;")"</f>
        <v xml:space="preserve">           if (PADDR_CNT == 6'h19)</v>
      </c>
    </row>
    <row r="176" spans="1:2" x14ac:dyDescent="0.3">
      <c r="B176" t="str">
        <f>"               sr_paddr_dat["&amp;A170&amp;"]  &lt;= sr_page_paddr_buf;"</f>
        <v xml:space="preserve">               sr_paddr_dat[19]  &lt;= sr_page_paddr_buf;</v>
      </c>
    </row>
    <row r="177" spans="1:2" x14ac:dyDescent="0.3">
      <c r="B177" t="s">
        <v>3</v>
      </c>
    </row>
    <row r="178" spans="1:2" x14ac:dyDescent="0.3">
      <c r="B178" t="str">
        <f>"               sr_paddr_dat["&amp;A170&amp;"]  &lt;= sr_paddr_dat["&amp;A170&amp;"];"</f>
        <v xml:space="preserve">               sr_paddr_dat[19]  &lt;= sr_paddr_dat[19];</v>
      </c>
    </row>
    <row r="179" spans="1:2" x14ac:dyDescent="0.3">
      <c r="B179" t="s">
        <v>4</v>
      </c>
    </row>
    <row r="180" spans="1:2" x14ac:dyDescent="0.3">
      <c r="B180" t="s">
        <v>5</v>
      </c>
    </row>
    <row r="182" spans="1:2" x14ac:dyDescent="0.3">
      <c r="A182">
        <f>A170+1</f>
        <v>20</v>
      </c>
      <c r="B182" t="str">
        <f>"    // Page Address Resister"&amp;A182</f>
        <v xml:space="preserve">    // Page Address Resister20</v>
      </c>
    </row>
    <row r="183" spans="1:2" x14ac:dyDescent="0.3">
      <c r="A183" t="str">
        <f>DEC2HEX(A182)</f>
        <v>14</v>
      </c>
      <c r="B183" t="s">
        <v>0</v>
      </c>
    </row>
    <row r="184" spans="1:2" x14ac:dyDescent="0.3">
      <c r="B184" t="s">
        <v>1</v>
      </c>
    </row>
    <row r="185" spans="1:2" x14ac:dyDescent="0.3">
      <c r="B185" t="str">
        <f>"            sr_paddr_dat["&amp;A182&amp;"]   &lt;= 24'h0;"</f>
        <v xml:space="preserve">            sr_paddr_dat[20]   &lt;= 24'h0;</v>
      </c>
    </row>
    <row r="186" spans="1:2" x14ac:dyDescent="0.3">
      <c r="B186" t="s">
        <v>2</v>
      </c>
    </row>
    <row r="187" spans="1:2" x14ac:dyDescent="0.3">
      <c r="B187" t="str">
        <f>"           if (PADDR_CNT == 6'h"&amp;A182&amp;")"</f>
        <v xml:space="preserve">           if (PADDR_CNT == 6'h20)</v>
      </c>
    </row>
    <row r="188" spans="1:2" x14ac:dyDescent="0.3">
      <c r="B188" t="str">
        <f>"               sr_paddr_dat["&amp;A182&amp;"]  &lt;= sr_page_paddr_buf;"</f>
        <v xml:space="preserve">               sr_paddr_dat[20]  &lt;= sr_page_paddr_buf;</v>
      </c>
    </row>
    <row r="189" spans="1:2" x14ac:dyDescent="0.3">
      <c r="B189" t="s">
        <v>3</v>
      </c>
    </row>
    <row r="190" spans="1:2" x14ac:dyDescent="0.3">
      <c r="B190" t="str">
        <f>"               sr_paddr_dat["&amp;A182&amp;"]  &lt;= sr_paddr_dat["&amp;A182&amp;"];"</f>
        <v xml:space="preserve">               sr_paddr_dat[20]  &lt;= sr_paddr_dat[20];</v>
      </c>
    </row>
    <row r="191" spans="1:2" x14ac:dyDescent="0.3">
      <c r="B191" t="s">
        <v>4</v>
      </c>
    </row>
    <row r="192" spans="1:2" x14ac:dyDescent="0.3">
      <c r="B192" t="s">
        <v>5</v>
      </c>
    </row>
    <row r="194" spans="1:2" x14ac:dyDescent="0.3">
      <c r="A194">
        <f>A182+1</f>
        <v>21</v>
      </c>
      <c r="B194" t="str">
        <f>"    // Page Address Resister"&amp;A194</f>
        <v xml:space="preserve">    // Page Address Resister21</v>
      </c>
    </row>
    <row r="195" spans="1:2" x14ac:dyDescent="0.3">
      <c r="A195" t="str">
        <f>DEC2HEX(A194)</f>
        <v>15</v>
      </c>
      <c r="B195" t="s">
        <v>0</v>
      </c>
    </row>
    <row r="196" spans="1:2" x14ac:dyDescent="0.3">
      <c r="B196" t="s">
        <v>1</v>
      </c>
    </row>
    <row r="197" spans="1:2" x14ac:dyDescent="0.3">
      <c r="B197" t="str">
        <f>"            sr_paddr_dat["&amp;A194&amp;"]   &lt;= 24'h0;"</f>
        <v xml:space="preserve">            sr_paddr_dat[21]   &lt;= 24'h0;</v>
      </c>
    </row>
    <row r="198" spans="1:2" x14ac:dyDescent="0.3">
      <c r="B198" t="s">
        <v>2</v>
      </c>
    </row>
    <row r="199" spans="1:2" x14ac:dyDescent="0.3">
      <c r="B199" t="str">
        <f>"           if (PADDR_CNT == 6'h"&amp;A194&amp;")"</f>
        <v xml:space="preserve">           if (PADDR_CNT == 6'h21)</v>
      </c>
    </row>
    <row r="200" spans="1:2" x14ac:dyDescent="0.3">
      <c r="B200" t="str">
        <f>"               sr_paddr_dat["&amp;A194&amp;"]  &lt;= sr_page_paddr_buf;"</f>
        <v xml:space="preserve">               sr_paddr_dat[21]  &lt;= sr_page_paddr_buf;</v>
      </c>
    </row>
    <row r="201" spans="1:2" x14ac:dyDescent="0.3">
      <c r="B201" t="s">
        <v>3</v>
      </c>
    </row>
    <row r="202" spans="1:2" x14ac:dyDescent="0.3">
      <c r="B202" t="str">
        <f>"               sr_paddr_dat["&amp;A194&amp;"]  &lt;= sr_paddr_dat["&amp;A194&amp;"];"</f>
        <v xml:space="preserve">               sr_paddr_dat[21]  &lt;= sr_paddr_dat[21];</v>
      </c>
    </row>
    <row r="203" spans="1:2" x14ac:dyDescent="0.3">
      <c r="B203" t="s">
        <v>4</v>
      </c>
    </row>
    <row r="204" spans="1:2" x14ac:dyDescent="0.3">
      <c r="B204" t="s">
        <v>5</v>
      </c>
    </row>
    <row r="206" spans="1:2" x14ac:dyDescent="0.3">
      <c r="A206">
        <f>A194+1</f>
        <v>22</v>
      </c>
      <c r="B206" t="str">
        <f>"    // Page Address Resister"&amp;A206</f>
        <v xml:space="preserve">    // Page Address Resister22</v>
      </c>
    </row>
    <row r="207" spans="1:2" x14ac:dyDescent="0.3">
      <c r="A207" t="str">
        <f>DEC2HEX(A206)</f>
        <v>16</v>
      </c>
      <c r="B207" t="s">
        <v>0</v>
      </c>
    </row>
    <row r="208" spans="1:2" x14ac:dyDescent="0.3">
      <c r="B208" t="s">
        <v>1</v>
      </c>
    </row>
    <row r="209" spans="1:2" x14ac:dyDescent="0.3">
      <c r="B209" t="str">
        <f>"            sr_paddr_dat["&amp;A206&amp;"]   &lt;= 24'h0;"</f>
        <v xml:space="preserve">            sr_paddr_dat[22]   &lt;= 24'h0;</v>
      </c>
    </row>
    <row r="210" spans="1:2" x14ac:dyDescent="0.3">
      <c r="B210" t="s">
        <v>2</v>
      </c>
    </row>
    <row r="211" spans="1:2" x14ac:dyDescent="0.3">
      <c r="B211" t="str">
        <f>"           if (PADDR_CNT == 6'h"&amp;A206&amp;")"</f>
        <v xml:space="preserve">           if (PADDR_CNT == 6'h22)</v>
      </c>
    </row>
    <row r="212" spans="1:2" x14ac:dyDescent="0.3">
      <c r="B212" t="str">
        <f>"               sr_paddr_dat["&amp;A206&amp;"]  &lt;= sr_page_paddr_buf;"</f>
        <v xml:space="preserve">               sr_paddr_dat[22]  &lt;= sr_page_paddr_buf;</v>
      </c>
    </row>
    <row r="213" spans="1:2" x14ac:dyDescent="0.3">
      <c r="B213" t="s">
        <v>3</v>
      </c>
    </row>
    <row r="214" spans="1:2" x14ac:dyDescent="0.3">
      <c r="B214" t="str">
        <f>"               sr_paddr_dat["&amp;A206&amp;"]  &lt;= sr_paddr_dat["&amp;A206&amp;"];"</f>
        <v xml:space="preserve">               sr_paddr_dat[22]  &lt;= sr_paddr_dat[22];</v>
      </c>
    </row>
    <row r="215" spans="1:2" x14ac:dyDescent="0.3">
      <c r="B215" t="s">
        <v>4</v>
      </c>
    </row>
    <row r="216" spans="1:2" x14ac:dyDescent="0.3">
      <c r="B216" t="s">
        <v>5</v>
      </c>
    </row>
    <row r="218" spans="1:2" x14ac:dyDescent="0.3">
      <c r="A218">
        <f>A206+1</f>
        <v>23</v>
      </c>
      <c r="B218" t="str">
        <f>"    // Page Address Resister"&amp;A218</f>
        <v xml:space="preserve">    // Page Address Resister23</v>
      </c>
    </row>
    <row r="219" spans="1:2" x14ac:dyDescent="0.3">
      <c r="A219" t="str">
        <f>DEC2HEX(A218)</f>
        <v>17</v>
      </c>
      <c r="B219" t="s">
        <v>0</v>
      </c>
    </row>
    <row r="220" spans="1:2" x14ac:dyDescent="0.3">
      <c r="B220" t="s">
        <v>1</v>
      </c>
    </row>
    <row r="221" spans="1:2" x14ac:dyDescent="0.3">
      <c r="B221" t="str">
        <f>"            sr_paddr_dat["&amp;A218&amp;"]   &lt;= 24'h0;"</f>
        <v xml:space="preserve">            sr_paddr_dat[23]   &lt;= 24'h0;</v>
      </c>
    </row>
    <row r="222" spans="1:2" x14ac:dyDescent="0.3">
      <c r="B222" t="s">
        <v>2</v>
      </c>
    </row>
    <row r="223" spans="1:2" x14ac:dyDescent="0.3">
      <c r="B223" t="str">
        <f>"           if (PADDR_CNT == 6'h"&amp;A218&amp;")"</f>
        <v xml:space="preserve">           if (PADDR_CNT == 6'h23)</v>
      </c>
    </row>
    <row r="224" spans="1:2" x14ac:dyDescent="0.3">
      <c r="B224" t="str">
        <f>"               sr_paddr_dat["&amp;A218&amp;"]  &lt;= sr_page_paddr_buf;"</f>
        <v xml:space="preserve">               sr_paddr_dat[23]  &lt;= sr_page_paddr_buf;</v>
      </c>
    </row>
    <row r="225" spans="1:2" x14ac:dyDescent="0.3">
      <c r="B225" t="s">
        <v>3</v>
      </c>
    </row>
    <row r="226" spans="1:2" x14ac:dyDescent="0.3">
      <c r="B226" t="str">
        <f>"               sr_paddr_dat["&amp;A218&amp;"]  &lt;= sr_paddr_dat["&amp;A218&amp;"];"</f>
        <v xml:space="preserve">               sr_paddr_dat[23]  &lt;= sr_paddr_dat[23];</v>
      </c>
    </row>
    <row r="227" spans="1:2" x14ac:dyDescent="0.3">
      <c r="B227" t="s">
        <v>4</v>
      </c>
    </row>
    <row r="228" spans="1:2" x14ac:dyDescent="0.3">
      <c r="B228" t="s">
        <v>5</v>
      </c>
    </row>
    <row r="230" spans="1:2" x14ac:dyDescent="0.3">
      <c r="A230">
        <f>A218+1</f>
        <v>24</v>
      </c>
      <c r="B230" t="str">
        <f>"    // Page Address Resister"&amp;A230</f>
        <v xml:space="preserve">    // Page Address Resister24</v>
      </c>
    </row>
    <row r="231" spans="1:2" x14ac:dyDescent="0.3">
      <c r="A231" t="str">
        <f>DEC2HEX(A230)</f>
        <v>18</v>
      </c>
      <c r="B231" t="s">
        <v>0</v>
      </c>
    </row>
    <row r="232" spans="1:2" x14ac:dyDescent="0.3">
      <c r="B232" t="s">
        <v>1</v>
      </c>
    </row>
    <row r="233" spans="1:2" x14ac:dyDescent="0.3">
      <c r="B233" t="str">
        <f>"            sr_paddr_dat["&amp;A230&amp;"]   &lt;= 24'h0;"</f>
        <v xml:space="preserve">            sr_paddr_dat[24]   &lt;= 24'h0;</v>
      </c>
    </row>
    <row r="234" spans="1:2" x14ac:dyDescent="0.3">
      <c r="B234" t="s">
        <v>2</v>
      </c>
    </row>
    <row r="235" spans="1:2" x14ac:dyDescent="0.3">
      <c r="B235" t="str">
        <f>"           if (PADDR_CNT == 6'h"&amp;A230&amp;")"</f>
        <v xml:space="preserve">           if (PADDR_CNT == 6'h24)</v>
      </c>
    </row>
    <row r="236" spans="1:2" x14ac:dyDescent="0.3">
      <c r="B236" t="str">
        <f>"               sr_paddr_dat["&amp;A230&amp;"]  &lt;= sr_page_paddr_buf;"</f>
        <v xml:space="preserve">               sr_paddr_dat[24]  &lt;= sr_page_paddr_buf;</v>
      </c>
    </row>
    <row r="237" spans="1:2" x14ac:dyDescent="0.3">
      <c r="B237" t="s">
        <v>3</v>
      </c>
    </row>
    <row r="238" spans="1:2" x14ac:dyDescent="0.3">
      <c r="B238" t="str">
        <f>"               sr_paddr_dat["&amp;A230&amp;"]  &lt;= sr_paddr_dat["&amp;A230&amp;"];"</f>
        <v xml:space="preserve">               sr_paddr_dat[24]  &lt;= sr_paddr_dat[24];</v>
      </c>
    </row>
    <row r="239" spans="1:2" x14ac:dyDescent="0.3">
      <c r="B239" t="s">
        <v>4</v>
      </c>
    </row>
    <row r="240" spans="1:2" x14ac:dyDescent="0.3">
      <c r="B240" t="s">
        <v>5</v>
      </c>
    </row>
    <row r="242" spans="1:2" x14ac:dyDescent="0.3">
      <c r="A242">
        <f>A230+1</f>
        <v>25</v>
      </c>
      <c r="B242" t="str">
        <f>"    // Page Address Resister"&amp;A242</f>
        <v xml:space="preserve">    // Page Address Resister25</v>
      </c>
    </row>
    <row r="243" spans="1:2" x14ac:dyDescent="0.3">
      <c r="A243" t="str">
        <f>DEC2HEX(A242)</f>
        <v>19</v>
      </c>
      <c r="B243" t="s">
        <v>0</v>
      </c>
    </row>
    <row r="244" spans="1:2" x14ac:dyDescent="0.3">
      <c r="B244" t="s">
        <v>1</v>
      </c>
    </row>
    <row r="245" spans="1:2" x14ac:dyDescent="0.3">
      <c r="B245" t="str">
        <f>"            sr_paddr_dat["&amp;A242&amp;"]   &lt;= 24'h0;"</f>
        <v xml:space="preserve">            sr_paddr_dat[25]   &lt;= 24'h0;</v>
      </c>
    </row>
    <row r="246" spans="1:2" x14ac:dyDescent="0.3">
      <c r="B246" t="s">
        <v>2</v>
      </c>
    </row>
    <row r="247" spans="1:2" x14ac:dyDescent="0.3">
      <c r="B247" t="str">
        <f>"           if (PADDR_CNT == 6'h"&amp;A242&amp;")"</f>
        <v xml:space="preserve">           if (PADDR_CNT == 6'h25)</v>
      </c>
    </row>
    <row r="248" spans="1:2" x14ac:dyDescent="0.3">
      <c r="B248" t="str">
        <f>"               sr_paddr_dat["&amp;A242&amp;"]  &lt;= sr_page_paddr_buf;"</f>
        <v xml:space="preserve">               sr_paddr_dat[25]  &lt;= sr_page_paddr_buf;</v>
      </c>
    </row>
    <row r="249" spans="1:2" x14ac:dyDescent="0.3">
      <c r="B249" t="s">
        <v>3</v>
      </c>
    </row>
    <row r="250" spans="1:2" x14ac:dyDescent="0.3">
      <c r="B250" t="str">
        <f>"               sr_paddr_dat["&amp;A242&amp;"]  &lt;= sr_paddr_dat["&amp;A242&amp;"];"</f>
        <v xml:space="preserve">               sr_paddr_dat[25]  &lt;= sr_paddr_dat[25];</v>
      </c>
    </row>
    <row r="251" spans="1:2" x14ac:dyDescent="0.3">
      <c r="B251" t="s">
        <v>4</v>
      </c>
    </row>
    <row r="252" spans="1:2" x14ac:dyDescent="0.3">
      <c r="B252" t="s">
        <v>5</v>
      </c>
    </row>
    <row r="254" spans="1:2" x14ac:dyDescent="0.3">
      <c r="A254">
        <f>A242+1</f>
        <v>26</v>
      </c>
      <c r="B254" t="str">
        <f>"    // Page Address Resister"&amp;A254</f>
        <v xml:space="preserve">    // Page Address Resister26</v>
      </c>
    </row>
    <row r="255" spans="1:2" x14ac:dyDescent="0.3">
      <c r="A255" t="str">
        <f>DEC2HEX(A254)</f>
        <v>1A</v>
      </c>
      <c r="B255" t="s">
        <v>0</v>
      </c>
    </row>
    <row r="256" spans="1:2" x14ac:dyDescent="0.3">
      <c r="B256" t="s">
        <v>1</v>
      </c>
    </row>
    <row r="257" spans="1:2" x14ac:dyDescent="0.3">
      <c r="B257" t="str">
        <f>"            sr_paddr_dat["&amp;A254&amp;"]   &lt;= 24'h0;"</f>
        <v xml:space="preserve">            sr_paddr_dat[26]   &lt;= 24'h0;</v>
      </c>
    </row>
    <row r="258" spans="1:2" x14ac:dyDescent="0.3">
      <c r="B258" t="s">
        <v>2</v>
      </c>
    </row>
    <row r="259" spans="1:2" x14ac:dyDescent="0.3">
      <c r="B259" t="str">
        <f>"           if (PADDR_CNT == 6'h"&amp;A254&amp;")"</f>
        <v xml:space="preserve">           if (PADDR_CNT == 6'h26)</v>
      </c>
    </row>
    <row r="260" spans="1:2" x14ac:dyDescent="0.3">
      <c r="B260" t="str">
        <f>"               sr_paddr_dat["&amp;A254&amp;"]  &lt;= sr_page_paddr_buf;"</f>
        <v xml:space="preserve">               sr_paddr_dat[26]  &lt;= sr_page_paddr_buf;</v>
      </c>
    </row>
    <row r="261" spans="1:2" x14ac:dyDescent="0.3">
      <c r="B261" t="s">
        <v>3</v>
      </c>
    </row>
    <row r="262" spans="1:2" x14ac:dyDescent="0.3">
      <c r="B262" t="str">
        <f>"               sr_paddr_dat["&amp;A254&amp;"]  &lt;= sr_paddr_dat["&amp;A254&amp;"];"</f>
        <v xml:space="preserve">               sr_paddr_dat[26]  &lt;= sr_paddr_dat[26];</v>
      </c>
    </row>
    <row r="263" spans="1:2" x14ac:dyDescent="0.3">
      <c r="B263" t="s">
        <v>4</v>
      </c>
    </row>
    <row r="264" spans="1:2" x14ac:dyDescent="0.3">
      <c r="B264" t="s">
        <v>5</v>
      </c>
    </row>
    <row r="266" spans="1:2" x14ac:dyDescent="0.3">
      <c r="A266">
        <f>A254+1</f>
        <v>27</v>
      </c>
      <c r="B266" t="str">
        <f>"    // Page Address Resister"&amp;A266</f>
        <v xml:space="preserve">    // Page Address Resister27</v>
      </c>
    </row>
    <row r="267" spans="1:2" x14ac:dyDescent="0.3">
      <c r="A267" t="str">
        <f>DEC2HEX(A266)</f>
        <v>1B</v>
      </c>
      <c r="B267" t="s">
        <v>0</v>
      </c>
    </row>
    <row r="268" spans="1:2" x14ac:dyDescent="0.3">
      <c r="B268" t="s">
        <v>1</v>
      </c>
    </row>
    <row r="269" spans="1:2" x14ac:dyDescent="0.3">
      <c r="B269" t="str">
        <f>"            sr_paddr_dat["&amp;A266&amp;"]   &lt;= 24'h0;"</f>
        <v xml:space="preserve">            sr_paddr_dat[27]   &lt;= 24'h0;</v>
      </c>
    </row>
    <row r="270" spans="1:2" x14ac:dyDescent="0.3">
      <c r="B270" t="s">
        <v>2</v>
      </c>
    </row>
    <row r="271" spans="1:2" x14ac:dyDescent="0.3">
      <c r="B271" t="str">
        <f>"           if (PADDR_CNT == 6'h"&amp;A266&amp;")"</f>
        <v xml:space="preserve">           if (PADDR_CNT == 6'h27)</v>
      </c>
    </row>
    <row r="272" spans="1:2" x14ac:dyDescent="0.3">
      <c r="B272" t="str">
        <f>"               sr_paddr_dat["&amp;A266&amp;"]  &lt;= sr_page_paddr_buf;"</f>
        <v xml:space="preserve">               sr_paddr_dat[27]  &lt;= sr_page_paddr_buf;</v>
      </c>
    </row>
    <row r="273" spans="1:2" x14ac:dyDescent="0.3">
      <c r="B273" t="s">
        <v>3</v>
      </c>
    </row>
    <row r="274" spans="1:2" x14ac:dyDescent="0.3">
      <c r="B274" t="str">
        <f>"               sr_paddr_dat["&amp;A266&amp;"]  &lt;= sr_paddr_dat["&amp;A266&amp;"];"</f>
        <v xml:space="preserve">               sr_paddr_dat[27]  &lt;= sr_paddr_dat[27];</v>
      </c>
    </row>
    <row r="275" spans="1:2" x14ac:dyDescent="0.3">
      <c r="B275" t="s">
        <v>4</v>
      </c>
    </row>
    <row r="276" spans="1:2" x14ac:dyDescent="0.3">
      <c r="B276" t="s">
        <v>5</v>
      </c>
    </row>
    <row r="278" spans="1:2" x14ac:dyDescent="0.3">
      <c r="A278">
        <f>A266+1</f>
        <v>28</v>
      </c>
      <c r="B278" t="str">
        <f>"    // Page Address Resister"&amp;A278</f>
        <v xml:space="preserve">    // Page Address Resister28</v>
      </c>
    </row>
    <row r="279" spans="1:2" x14ac:dyDescent="0.3">
      <c r="A279" t="str">
        <f>DEC2HEX(A278)</f>
        <v>1C</v>
      </c>
      <c r="B279" t="s">
        <v>0</v>
      </c>
    </row>
    <row r="280" spans="1:2" x14ac:dyDescent="0.3">
      <c r="B280" t="s">
        <v>1</v>
      </c>
    </row>
    <row r="281" spans="1:2" x14ac:dyDescent="0.3">
      <c r="B281" t="str">
        <f>"            sr_paddr_dat["&amp;A278&amp;"]   &lt;= 24'h0;"</f>
        <v xml:space="preserve">            sr_paddr_dat[28]   &lt;= 24'h0;</v>
      </c>
    </row>
    <row r="282" spans="1:2" x14ac:dyDescent="0.3">
      <c r="B282" t="s">
        <v>2</v>
      </c>
    </row>
    <row r="283" spans="1:2" x14ac:dyDescent="0.3">
      <c r="B283" t="str">
        <f>"           if (PADDR_CNT == 6'h"&amp;A278&amp;")"</f>
        <v xml:space="preserve">           if (PADDR_CNT == 6'h28)</v>
      </c>
    </row>
    <row r="284" spans="1:2" x14ac:dyDescent="0.3">
      <c r="B284" t="str">
        <f>"               sr_paddr_dat["&amp;A278&amp;"]  &lt;= sr_page_paddr_buf;"</f>
        <v xml:space="preserve">               sr_paddr_dat[28]  &lt;= sr_page_paddr_buf;</v>
      </c>
    </row>
    <row r="285" spans="1:2" x14ac:dyDescent="0.3">
      <c r="B285" t="s">
        <v>3</v>
      </c>
    </row>
    <row r="286" spans="1:2" x14ac:dyDescent="0.3">
      <c r="B286" t="str">
        <f>"               sr_paddr_dat["&amp;A278&amp;"]  &lt;= sr_paddr_dat["&amp;A278&amp;"];"</f>
        <v xml:space="preserve">               sr_paddr_dat[28]  &lt;= sr_paddr_dat[28];</v>
      </c>
    </row>
    <row r="287" spans="1:2" x14ac:dyDescent="0.3">
      <c r="B287" t="s">
        <v>4</v>
      </c>
    </row>
    <row r="288" spans="1:2" x14ac:dyDescent="0.3">
      <c r="B288" t="s">
        <v>5</v>
      </c>
    </row>
    <row r="290" spans="1:2" x14ac:dyDescent="0.3">
      <c r="A290">
        <f>A278+1</f>
        <v>29</v>
      </c>
      <c r="B290" t="str">
        <f>"    // Page Address Resister"&amp;A290</f>
        <v xml:space="preserve">    // Page Address Resister29</v>
      </c>
    </row>
    <row r="291" spans="1:2" x14ac:dyDescent="0.3">
      <c r="A291" t="str">
        <f>DEC2HEX(A290)</f>
        <v>1D</v>
      </c>
      <c r="B291" t="s">
        <v>0</v>
      </c>
    </row>
    <row r="292" spans="1:2" x14ac:dyDescent="0.3">
      <c r="B292" t="s">
        <v>1</v>
      </c>
    </row>
    <row r="293" spans="1:2" x14ac:dyDescent="0.3">
      <c r="B293" t="str">
        <f>"            sr_paddr_dat["&amp;A290&amp;"]   &lt;= 24'h0;"</f>
        <v xml:space="preserve">            sr_paddr_dat[29]   &lt;= 24'h0;</v>
      </c>
    </row>
    <row r="294" spans="1:2" x14ac:dyDescent="0.3">
      <c r="B294" t="s">
        <v>2</v>
      </c>
    </row>
    <row r="295" spans="1:2" x14ac:dyDescent="0.3">
      <c r="B295" t="str">
        <f>"           if (PADDR_CNT == 6'h"&amp;A290&amp;")"</f>
        <v xml:space="preserve">           if (PADDR_CNT == 6'h29)</v>
      </c>
    </row>
    <row r="296" spans="1:2" x14ac:dyDescent="0.3">
      <c r="B296" t="str">
        <f>"               sr_paddr_dat["&amp;A290&amp;"]  &lt;= sr_page_paddr_buf;"</f>
        <v xml:space="preserve">               sr_paddr_dat[29]  &lt;= sr_page_paddr_buf;</v>
      </c>
    </row>
    <row r="297" spans="1:2" x14ac:dyDescent="0.3">
      <c r="B297" t="s">
        <v>3</v>
      </c>
    </row>
    <row r="298" spans="1:2" x14ac:dyDescent="0.3">
      <c r="B298" t="str">
        <f>"               sr_paddr_dat["&amp;A290&amp;"]  &lt;= sr_paddr_dat["&amp;A290&amp;"];"</f>
        <v xml:space="preserve">               sr_paddr_dat[29]  &lt;= sr_paddr_dat[29];</v>
      </c>
    </row>
    <row r="299" spans="1:2" x14ac:dyDescent="0.3">
      <c r="B299" t="s">
        <v>4</v>
      </c>
    </row>
    <row r="300" spans="1:2" x14ac:dyDescent="0.3">
      <c r="B300" t="s">
        <v>5</v>
      </c>
    </row>
    <row r="302" spans="1:2" x14ac:dyDescent="0.3">
      <c r="A302">
        <f>A290+1</f>
        <v>30</v>
      </c>
      <c r="B302" t="str">
        <f>"    // Page Address Resister"&amp;A302</f>
        <v xml:space="preserve">    // Page Address Resister30</v>
      </c>
    </row>
    <row r="303" spans="1:2" x14ac:dyDescent="0.3">
      <c r="A303" t="str">
        <f>DEC2HEX(A302)</f>
        <v>1E</v>
      </c>
      <c r="B303" t="s">
        <v>0</v>
      </c>
    </row>
    <row r="304" spans="1:2" x14ac:dyDescent="0.3">
      <c r="B304" t="s">
        <v>1</v>
      </c>
    </row>
    <row r="305" spans="1:2" x14ac:dyDescent="0.3">
      <c r="B305" t="str">
        <f>"            sr_paddr_dat["&amp;A302&amp;"]   &lt;= 24'h0;"</f>
        <v xml:space="preserve">            sr_paddr_dat[30]   &lt;= 24'h0;</v>
      </c>
    </row>
    <row r="306" spans="1:2" x14ac:dyDescent="0.3">
      <c r="B306" t="s">
        <v>2</v>
      </c>
    </row>
    <row r="307" spans="1:2" x14ac:dyDescent="0.3">
      <c r="B307" t="str">
        <f>"           if (PADDR_CNT == 6'h"&amp;A302&amp;")"</f>
        <v xml:space="preserve">           if (PADDR_CNT == 6'h30)</v>
      </c>
    </row>
    <row r="308" spans="1:2" x14ac:dyDescent="0.3">
      <c r="B308" t="str">
        <f>"               sr_paddr_dat["&amp;A302&amp;"]  &lt;= sr_page_paddr_buf;"</f>
        <v xml:space="preserve">               sr_paddr_dat[30]  &lt;= sr_page_paddr_buf;</v>
      </c>
    </row>
    <row r="309" spans="1:2" x14ac:dyDescent="0.3">
      <c r="B309" t="s">
        <v>3</v>
      </c>
    </row>
    <row r="310" spans="1:2" x14ac:dyDescent="0.3">
      <c r="B310" t="str">
        <f>"               sr_paddr_dat["&amp;A302&amp;"]  &lt;= sr_paddr_dat["&amp;A302&amp;"];"</f>
        <v xml:space="preserve">               sr_paddr_dat[30]  &lt;= sr_paddr_dat[30];</v>
      </c>
    </row>
    <row r="311" spans="1:2" x14ac:dyDescent="0.3">
      <c r="B311" t="s">
        <v>4</v>
      </c>
    </row>
    <row r="312" spans="1:2" x14ac:dyDescent="0.3">
      <c r="B312" t="s">
        <v>5</v>
      </c>
    </row>
    <row r="314" spans="1:2" x14ac:dyDescent="0.3">
      <c r="A314">
        <f>A302+1</f>
        <v>31</v>
      </c>
      <c r="B314" t="str">
        <f>"    // Page Address Resister"&amp;A314</f>
        <v xml:space="preserve">    // Page Address Resister31</v>
      </c>
    </row>
    <row r="315" spans="1:2" x14ac:dyDescent="0.3">
      <c r="A315" t="str">
        <f>DEC2HEX(A314)</f>
        <v>1F</v>
      </c>
      <c r="B315" t="s">
        <v>0</v>
      </c>
    </row>
    <row r="316" spans="1:2" x14ac:dyDescent="0.3">
      <c r="B316" t="s">
        <v>1</v>
      </c>
    </row>
    <row r="317" spans="1:2" x14ac:dyDescent="0.3">
      <c r="B317" t="str">
        <f>"            sr_paddr_dat["&amp;A314&amp;"]   &lt;= 24'h0;"</f>
        <v xml:space="preserve">            sr_paddr_dat[31]   &lt;= 24'h0;</v>
      </c>
    </row>
    <row r="318" spans="1:2" x14ac:dyDescent="0.3">
      <c r="B318" t="s">
        <v>2</v>
      </c>
    </row>
    <row r="319" spans="1:2" x14ac:dyDescent="0.3">
      <c r="B319" t="str">
        <f>"           if (PADDR_CNT == 6'h"&amp;A314&amp;")"</f>
        <v xml:space="preserve">           if (PADDR_CNT == 6'h31)</v>
      </c>
    </row>
    <row r="320" spans="1:2" x14ac:dyDescent="0.3">
      <c r="B320" t="str">
        <f>"               sr_paddr_dat["&amp;A314&amp;"]  &lt;= sr_page_paddr_buf;"</f>
        <v xml:space="preserve">               sr_paddr_dat[31]  &lt;= sr_page_paddr_buf;</v>
      </c>
    </row>
    <row r="321" spans="1:2" x14ac:dyDescent="0.3">
      <c r="B321" t="s">
        <v>3</v>
      </c>
    </row>
    <row r="322" spans="1:2" x14ac:dyDescent="0.3">
      <c r="B322" t="str">
        <f>"               sr_paddr_dat["&amp;A314&amp;"]  &lt;= sr_paddr_dat["&amp;A314&amp;"];"</f>
        <v xml:space="preserve">               sr_paddr_dat[31]  &lt;= sr_paddr_dat[31];</v>
      </c>
    </row>
    <row r="323" spans="1:2" x14ac:dyDescent="0.3">
      <c r="B323" t="s">
        <v>4</v>
      </c>
    </row>
    <row r="324" spans="1:2" x14ac:dyDescent="0.3">
      <c r="B324" t="s">
        <v>5</v>
      </c>
    </row>
    <row r="326" spans="1:2" x14ac:dyDescent="0.3">
      <c r="A326">
        <f>A314+1</f>
        <v>32</v>
      </c>
      <c r="B326" t="str">
        <f>"    // Page Address Resister"&amp;A326</f>
        <v xml:space="preserve">    // Page Address Resister32</v>
      </c>
    </row>
    <row r="327" spans="1:2" x14ac:dyDescent="0.3">
      <c r="A327" t="str">
        <f>DEC2HEX(A326)</f>
        <v>20</v>
      </c>
      <c r="B327" t="s">
        <v>0</v>
      </c>
    </row>
    <row r="328" spans="1:2" x14ac:dyDescent="0.3">
      <c r="B328" t="s">
        <v>1</v>
      </c>
    </row>
    <row r="329" spans="1:2" x14ac:dyDescent="0.3">
      <c r="B329" t="str">
        <f>"            sr_paddr_dat["&amp;A326&amp;"]   &lt;= 24'h0;"</f>
        <v xml:space="preserve">            sr_paddr_dat[32]   &lt;= 24'h0;</v>
      </c>
    </row>
    <row r="330" spans="1:2" x14ac:dyDescent="0.3">
      <c r="B330" t="s">
        <v>2</v>
      </c>
    </row>
    <row r="331" spans="1:2" x14ac:dyDescent="0.3">
      <c r="B331" t="str">
        <f>"           if (PADDR_CNT == 6'h"&amp;A326&amp;")"</f>
        <v xml:space="preserve">           if (PADDR_CNT == 6'h32)</v>
      </c>
    </row>
    <row r="332" spans="1:2" x14ac:dyDescent="0.3">
      <c r="B332" t="str">
        <f>"               sr_paddr_dat["&amp;A326&amp;"]  &lt;= sr_page_paddr_buf;"</f>
        <v xml:space="preserve">               sr_paddr_dat[32]  &lt;= sr_page_paddr_buf;</v>
      </c>
    </row>
    <row r="333" spans="1:2" x14ac:dyDescent="0.3">
      <c r="B333" t="s">
        <v>3</v>
      </c>
    </row>
    <row r="334" spans="1:2" x14ac:dyDescent="0.3">
      <c r="B334" t="str">
        <f>"               sr_paddr_dat["&amp;A326&amp;"]  &lt;= sr_paddr_dat["&amp;A326&amp;"];"</f>
        <v xml:space="preserve">               sr_paddr_dat[32]  &lt;= sr_paddr_dat[32];</v>
      </c>
    </row>
    <row r="335" spans="1:2" x14ac:dyDescent="0.3">
      <c r="B335" t="s">
        <v>4</v>
      </c>
    </row>
    <row r="336" spans="1:2" x14ac:dyDescent="0.3">
      <c r="B336" t="s">
        <v>5</v>
      </c>
    </row>
    <row r="338" spans="1:2" x14ac:dyDescent="0.3">
      <c r="A338">
        <f>A326+1</f>
        <v>33</v>
      </c>
      <c r="B338" t="str">
        <f>"    // Page Address Resister"&amp;A338</f>
        <v xml:space="preserve">    // Page Address Resister33</v>
      </c>
    </row>
    <row r="339" spans="1:2" x14ac:dyDescent="0.3">
      <c r="A339" t="str">
        <f>DEC2HEX(A338)</f>
        <v>21</v>
      </c>
      <c r="B339" t="s">
        <v>0</v>
      </c>
    </row>
    <row r="340" spans="1:2" x14ac:dyDescent="0.3">
      <c r="B340" t="s">
        <v>1</v>
      </c>
    </row>
    <row r="341" spans="1:2" x14ac:dyDescent="0.3">
      <c r="B341" t="str">
        <f>"            sr_paddr_dat["&amp;A338&amp;"]   &lt;= 24'h0;"</f>
        <v xml:space="preserve">            sr_paddr_dat[33]   &lt;= 24'h0;</v>
      </c>
    </row>
    <row r="342" spans="1:2" x14ac:dyDescent="0.3">
      <c r="B342" t="s">
        <v>2</v>
      </c>
    </row>
    <row r="343" spans="1:2" x14ac:dyDescent="0.3">
      <c r="B343" t="str">
        <f>"           if (PADDR_CNT == 6'h"&amp;A338&amp;")"</f>
        <v xml:space="preserve">           if (PADDR_CNT == 6'h33)</v>
      </c>
    </row>
    <row r="344" spans="1:2" x14ac:dyDescent="0.3">
      <c r="B344" t="str">
        <f>"               sr_paddr_dat["&amp;A338&amp;"]  &lt;= sr_page_paddr_buf;"</f>
        <v xml:space="preserve">               sr_paddr_dat[33]  &lt;= sr_page_paddr_buf;</v>
      </c>
    </row>
    <row r="345" spans="1:2" x14ac:dyDescent="0.3">
      <c r="B345" t="s">
        <v>3</v>
      </c>
    </row>
    <row r="346" spans="1:2" x14ac:dyDescent="0.3">
      <c r="B346" t="str">
        <f>"               sr_paddr_dat["&amp;A338&amp;"]  &lt;= sr_paddr_dat["&amp;A338&amp;"];"</f>
        <v xml:space="preserve">               sr_paddr_dat[33]  &lt;= sr_paddr_dat[33];</v>
      </c>
    </row>
    <row r="347" spans="1:2" x14ac:dyDescent="0.3">
      <c r="B347" t="s">
        <v>4</v>
      </c>
    </row>
    <row r="348" spans="1:2" x14ac:dyDescent="0.3">
      <c r="B348" t="s">
        <v>5</v>
      </c>
    </row>
    <row r="350" spans="1:2" x14ac:dyDescent="0.3">
      <c r="A350">
        <f>A338+1</f>
        <v>34</v>
      </c>
      <c r="B350" t="str">
        <f>"    // Page Address Resister"&amp;A350</f>
        <v xml:space="preserve">    // Page Address Resister34</v>
      </c>
    </row>
    <row r="351" spans="1:2" x14ac:dyDescent="0.3">
      <c r="A351" t="str">
        <f>DEC2HEX(A350)</f>
        <v>22</v>
      </c>
      <c r="B351" t="s">
        <v>0</v>
      </c>
    </row>
    <row r="352" spans="1:2" x14ac:dyDescent="0.3">
      <c r="B352" t="s">
        <v>1</v>
      </c>
    </row>
    <row r="353" spans="1:2" x14ac:dyDescent="0.3">
      <c r="B353" t="str">
        <f>"            sr_paddr_dat["&amp;A350&amp;"]   &lt;= 24'h0;"</f>
        <v xml:space="preserve">            sr_paddr_dat[34]   &lt;= 24'h0;</v>
      </c>
    </row>
    <row r="354" spans="1:2" x14ac:dyDescent="0.3">
      <c r="B354" t="s">
        <v>2</v>
      </c>
    </row>
    <row r="355" spans="1:2" x14ac:dyDescent="0.3">
      <c r="B355" t="str">
        <f>"           if (PADDR_CNT == 6'h"&amp;A350&amp;")"</f>
        <v xml:space="preserve">           if (PADDR_CNT == 6'h34)</v>
      </c>
    </row>
    <row r="356" spans="1:2" x14ac:dyDescent="0.3">
      <c r="B356" t="str">
        <f>"               sr_paddr_dat["&amp;A350&amp;"]  &lt;= sr_page_paddr_buf;"</f>
        <v xml:space="preserve">               sr_paddr_dat[34]  &lt;= sr_page_paddr_buf;</v>
      </c>
    </row>
    <row r="357" spans="1:2" x14ac:dyDescent="0.3">
      <c r="B357" t="s">
        <v>3</v>
      </c>
    </row>
    <row r="358" spans="1:2" x14ac:dyDescent="0.3">
      <c r="B358" t="str">
        <f>"               sr_paddr_dat["&amp;A350&amp;"]  &lt;= sr_paddr_dat["&amp;A350&amp;"];"</f>
        <v xml:space="preserve">               sr_paddr_dat[34]  &lt;= sr_paddr_dat[34];</v>
      </c>
    </row>
    <row r="359" spans="1:2" x14ac:dyDescent="0.3">
      <c r="B359" t="s">
        <v>4</v>
      </c>
    </row>
    <row r="360" spans="1:2" x14ac:dyDescent="0.3">
      <c r="B360" t="s">
        <v>5</v>
      </c>
    </row>
    <row r="362" spans="1:2" x14ac:dyDescent="0.3">
      <c r="A362">
        <f>A350+1</f>
        <v>35</v>
      </c>
      <c r="B362" t="str">
        <f>"    // Page Address Resister"&amp;A362</f>
        <v xml:space="preserve">    // Page Address Resister35</v>
      </c>
    </row>
    <row r="363" spans="1:2" x14ac:dyDescent="0.3">
      <c r="A363" t="str">
        <f>DEC2HEX(A362)</f>
        <v>23</v>
      </c>
      <c r="B363" t="s">
        <v>0</v>
      </c>
    </row>
    <row r="364" spans="1:2" x14ac:dyDescent="0.3">
      <c r="B364" t="s">
        <v>1</v>
      </c>
    </row>
    <row r="365" spans="1:2" x14ac:dyDescent="0.3">
      <c r="B365" t="str">
        <f>"            sr_paddr_dat["&amp;A362&amp;"]   &lt;= 24'h0;"</f>
        <v xml:space="preserve">            sr_paddr_dat[35]   &lt;= 24'h0;</v>
      </c>
    </row>
    <row r="366" spans="1:2" x14ac:dyDescent="0.3">
      <c r="B366" t="s">
        <v>2</v>
      </c>
    </row>
    <row r="367" spans="1:2" x14ac:dyDescent="0.3">
      <c r="B367" t="str">
        <f>"           if (PADDR_CNT == 6'h"&amp;A362&amp;")"</f>
        <v xml:space="preserve">           if (PADDR_CNT == 6'h35)</v>
      </c>
    </row>
    <row r="368" spans="1:2" x14ac:dyDescent="0.3">
      <c r="B368" t="str">
        <f>"               sr_paddr_dat["&amp;A362&amp;"]  &lt;= sr_page_paddr_buf;"</f>
        <v xml:space="preserve">               sr_paddr_dat[35]  &lt;= sr_page_paddr_buf;</v>
      </c>
    </row>
    <row r="369" spans="1:2" x14ac:dyDescent="0.3">
      <c r="B369" t="s">
        <v>3</v>
      </c>
    </row>
    <row r="370" spans="1:2" x14ac:dyDescent="0.3">
      <c r="B370" t="str">
        <f>"               sr_paddr_dat["&amp;A362&amp;"]  &lt;= sr_paddr_dat["&amp;A362&amp;"];"</f>
        <v xml:space="preserve">               sr_paddr_dat[35]  &lt;= sr_paddr_dat[35];</v>
      </c>
    </row>
    <row r="371" spans="1:2" x14ac:dyDescent="0.3">
      <c r="B371" t="s">
        <v>4</v>
      </c>
    </row>
    <row r="372" spans="1:2" x14ac:dyDescent="0.3">
      <c r="B372" t="s">
        <v>5</v>
      </c>
    </row>
    <row r="374" spans="1:2" x14ac:dyDescent="0.3">
      <c r="A374">
        <f>A362+1</f>
        <v>36</v>
      </c>
      <c r="B374" t="str">
        <f>"    // Page Address Resister"&amp;A374</f>
        <v xml:space="preserve">    // Page Address Resister36</v>
      </c>
    </row>
    <row r="375" spans="1:2" x14ac:dyDescent="0.3">
      <c r="A375" t="str">
        <f>DEC2HEX(A374)</f>
        <v>24</v>
      </c>
      <c r="B375" t="s">
        <v>0</v>
      </c>
    </row>
    <row r="376" spans="1:2" x14ac:dyDescent="0.3">
      <c r="B376" t="s">
        <v>1</v>
      </c>
    </row>
    <row r="377" spans="1:2" x14ac:dyDescent="0.3">
      <c r="B377" t="str">
        <f>"            sr_paddr_dat["&amp;A374&amp;"]   &lt;= 24'h0;"</f>
        <v xml:space="preserve">            sr_paddr_dat[36]   &lt;= 24'h0;</v>
      </c>
    </row>
    <row r="378" spans="1:2" x14ac:dyDescent="0.3">
      <c r="B378" t="s">
        <v>2</v>
      </c>
    </row>
    <row r="379" spans="1:2" x14ac:dyDescent="0.3">
      <c r="B379" t="str">
        <f>"           if (PADDR_CNT == 6'h"&amp;A374&amp;")"</f>
        <v xml:space="preserve">           if (PADDR_CNT == 6'h36)</v>
      </c>
    </row>
    <row r="380" spans="1:2" x14ac:dyDescent="0.3">
      <c r="B380" t="str">
        <f>"               sr_paddr_dat["&amp;A374&amp;"]  &lt;= sr_page_paddr_buf;"</f>
        <v xml:space="preserve">               sr_paddr_dat[36]  &lt;= sr_page_paddr_buf;</v>
      </c>
    </row>
    <row r="381" spans="1:2" x14ac:dyDescent="0.3">
      <c r="B381" t="s">
        <v>3</v>
      </c>
    </row>
    <row r="382" spans="1:2" x14ac:dyDescent="0.3">
      <c r="B382" t="str">
        <f>"               sr_paddr_dat["&amp;A374&amp;"]  &lt;= sr_paddr_dat["&amp;A374&amp;"];"</f>
        <v xml:space="preserve">               sr_paddr_dat[36]  &lt;= sr_paddr_dat[36];</v>
      </c>
    </row>
    <row r="383" spans="1:2" x14ac:dyDescent="0.3">
      <c r="B383" t="s">
        <v>4</v>
      </c>
    </row>
    <row r="384" spans="1:2" x14ac:dyDescent="0.3">
      <c r="B384" t="s">
        <v>5</v>
      </c>
    </row>
    <row r="386" spans="1:2" x14ac:dyDescent="0.3">
      <c r="A386">
        <f>A374+1</f>
        <v>37</v>
      </c>
      <c r="B386" t="str">
        <f>"    // Page Address Resister"&amp;A386</f>
        <v xml:space="preserve">    // Page Address Resister37</v>
      </c>
    </row>
    <row r="387" spans="1:2" x14ac:dyDescent="0.3">
      <c r="A387" t="str">
        <f>DEC2HEX(A386)</f>
        <v>25</v>
      </c>
      <c r="B387" t="s">
        <v>0</v>
      </c>
    </row>
    <row r="388" spans="1:2" x14ac:dyDescent="0.3">
      <c r="B388" t="s">
        <v>1</v>
      </c>
    </row>
    <row r="389" spans="1:2" x14ac:dyDescent="0.3">
      <c r="B389" t="str">
        <f>"            sr_paddr_dat["&amp;A386&amp;"]   &lt;= 24'h0;"</f>
        <v xml:space="preserve">            sr_paddr_dat[37]   &lt;= 24'h0;</v>
      </c>
    </row>
    <row r="390" spans="1:2" x14ac:dyDescent="0.3">
      <c r="B390" t="s">
        <v>2</v>
      </c>
    </row>
    <row r="391" spans="1:2" x14ac:dyDescent="0.3">
      <c r="B391" t="str">
        <f>"           if (PADDR_CNT == 6'h"&amp;A386&amp;")"</f>
        <v xml:space="preserve">           if (PADDR_CNT == 6'h37)</v>
      </c>
    </row>
    <row r="392" spans="1:2" x14ac:dyDescent="0.3">
      <c r="B392" t="str">
        <f>"               sr_paddr_dat["&amp;A386&amp;"]  &lt;= sr_page_paddr_buf;"</f>
        <v xml:space="preserve">               sr_paddr_dat[37]  &lt;= sr_page_paddr_buf;</v>
      </c>
    </row>
    <row r="393" spans="1:2" x14ac:dyDescent="0.3">
      <c r="B393" t="s">
        <v>3</v>
      </c>
    </row>
    <row r="394" spans="1:2" x14ac:dyDescent="0.3">
      <c r="B394" t="str">
        <f>"               sr_paddr_dat["&amp;A386&amp;"]  &lt;= sr_paddr_dat["&amp;A386&amp;"];"</f>
        <v xml:space="preserve">               sr_paddr_dat[37]  &lt;= sr_paddr_dat[37];</v>
      </c>
    </row>
    <row r="395" spans="1:2" x14ac:dyDescent="0.3">
      <c r="B395" t="s">
        <v>4</v>
      </c>
    </row>
    <row r="396" spans="1:2" x14ac:dyDescent="0.3">
      <c r="B396" t="s">
        <v>5</v>
      </c>
    </row>
    <row r="398" spans="1:2" x14ac:dyDescent="0.3">
      <c r="A398">
        <f>A386+1</f>
        <v>38</v>
      </c>
      <c r="B398" t="str">
        <f>"    // Page Address Resister"&amp;A398</f>
        <v xml:space="preserve">    // Page Address Resister38</v>
      </c>
    </row>
    <row r="399" spans="1:2" x14ac:dyDescent="0.3">
      <c r="A399" t="str">
        <f>DEC2HEX(A398)</f>
        <v>26</v>
      </c>
      <c r="B399" t="s">
        <v>0</v>
      </c>
    </row>
    <row r="400" spans="1:2" x14ac:dyDescent="0.3">
      <c r="B400" t="s">
        <v>1</v>
      </c>
    </row>
    <row r="401" spans="1:2" x14ac:dyDescent="0.3">
      <c r="B401" t="str">
        <f>"            sr_paddr_dat["&amp;A398&amp;"]   &lt;= 24'h0;"</f>
        <v xml:space="preserve">            sr_paddr_dat[38]   &lt;= 24'h0;</v>
      </c>
    </row>
    <row r="402" spans="1:2" x14ac:dyDescent="0.3">
      <c r="B402" t="s">
        <v>2</v>
      </c>
    </row>
    <row r="403" spans="1:2" x14ac:dyDescent="0.3">
      <c r="B403" t="str">
        <f>"           if (PADDR_CNT == 6'h"&amp;A398&amp;")"</f>
        <v xml:space="preserve">           if (PADDR_CNT == 6'h38)</v>
      </c>
    </row>
    <row r="404" spans="1:2" x14ac:dyDescent="0.3">
      <c r="B404" t="str">
        <f>"               sr_paddr_dat["&amp;A398&amp;"]  &lt;= sr_page_paddr_buf;"</f>
        <v xml:space="preserve">               sr_paddr_dat[38]  &lt;= sr_page_paddr_buf;</v>
      </c>
    </row>
    <row r="405" spans="1:2" x14ac:dyDescent="0.3">
      <c r="B405" t="s">
        <v>3</v>
      </c>
    </row>
    <row r="406" spans="1:2" x14ac:dyDescent="0.3">
      <c r="B406" t="str">
        <f>"               sr_paddr_dat["&amp;A398&amp;"]  &lt;= sr_paddr_dat["&amp;A398&amp;"];"</f>
        <v xml:space="preserve">               sr_paddr_dat[38]  &lt;= sr_paddr_dat[38];</v>
      </c>
    </row>
    <row r="407" spans="1:2" x14ac:dyDescent="0.3">
      <c r="B407" t="s">
        <v>4</v>
      </c>
    </row>
    <row r="408" spans="1:2" x14ac:dyDescent="0.3">
      <c r="B408" t="s">
        <v>5</v>
      </c>
    </row>
    <row r="410" spans="1:2" x14ac:dyDescent="0.3">
      <c r="A410">
        <f>A398+1</f>
        <v>39</v>
      </c>
      <c r="B410" t="str">
        <f>"    // Page Address Resister"&amp;A410</f>
        <v xml:space="preserve">    // Page Address Resister39</v>
      </c>
    </row>
    <row r="411" spans="1:2" x14ac:dyDescent="0.3">
      <c r="A411" t="str">
        <f>DEC2HEX(A410)</f>
        <v>27</v>
      </c>
      <c r="B411" t="s">
        <v>0</v>
      </c>
    </row>
    <row r="412" spans="1:2" x14ac:dyDescent="0.3">
      <c r="B412" t="s">
        <v>1</v>
      </c>
    </row>
    <row r="413" spans="1:2" x14ac:dyDescent="0.3">
      <c r="B413" t="str">
        <f>"            sr_paddr_dat["&amp;A410&amp;"]   &lt;= 24'h0;"</f>
        <v xml:space="preserve">            sr_paddr_dat[39]   &lt;= 24'h0;</v>
      </c>
    </row>
    <row r="414" spans="1:2" x14ac:dyDescent="0.3">
      <c r="B414" t="s">
        <v>2</v>
      </c>
    </row>
    <row r="415" spans="1:2" x14ac:dyDescent="0.3">
      <c r="B415" t="str">
        <f>"           if (PADDR_CNT == 6'h"&amp;A410&amp;")"</f>
        <v xml:space="preserve">           if (PADDR_CNT == 6'h39)</v>
      </c>
    </row>
    <row r="416" spans="1:2" x14ac:dyDescent="0.3">
      <c r="B416" t="str">
        <f>"               sr_paddr_dat["&amp;A410&amp;"]  &lt;= sr_page_paddr_buf;"</f>
        <v xml:space="preserve">               sr_paddr_dat[39]  &lt;= sr_page_paddr_buf;</v>
      </c>
    </row>
    <row r="417" spans="1:2" x14ac:dyDescent="0.3">
      <c r="B417" t="s">
        <v>3</v>
      </c>
    </row>
    <row r="418" spans="1:2" x14ac:dyDescent="0.3">
      <c r="B418" t="str">
        <f>"               sr_paddr_dat["&amp;A410&amp;"]  &lt;= sr_paddr_dat["&amp;A410&amp;"];"</f>
        <v xml:space="preserve">               sr_paddr_dat[39]  &lt;= sr_paddr_dat[39];</v>
      </c>
    </row>
    <row r="419" spans="1:2" x14ac:dyDescent="0.3">
      <c r="B419" t="s">
        <v>4</v>
      </c>
    </row>
    <row r="420" spans="1:2" x14ac:dyDescent="0.3">
      <c r="B420" t="s">
        <v>5</v>
      </c>
    </row>
    <row r="422" spans="1:2" x14ac:dyDescent="0.3">
      <c r="A422">
        <f>A410+1</f>
        <v>40</v>
      </c>
      <c r="B422" t="str">
        <f>"    // Page Address Resister"&amp;A422</f>
        <v xml:space="preserve">    // Page Address Resister40</v>
      </c>
    </row>
    <row r="423" spans="1:2" x14ac:dyDescent="0.3">
      <c r="A423" t="str">
        <f>DEC2HEX(A422)</f>
        <v>28</v>
      </c>
      <c r="B423" t="s">
        <v>0</v>
      </c>
    </row>
    <row r="424" spans="1:2" x14ac:dyDescent="0.3">
      <c r="B424" t="s">
        <v>1</v>
      </c>
    </row>
    <row r="425" spans="1:2" x14ac:dyDescent="0.3">
      <c r="B425" t="str">
        <f>"            sr_paddr_dat["&amp;A422&amp;"]   &lt;= 24'h0;"</f>
        <v xml:space="preserve">            sr_paddr_dat[40]   &lt;= 24'h0;</v>
      </c>
    </row>
    <row r="426" spans="1:2" x14ac:dyDescent="0.3">
      <c r="B426" t="s">
        <v>2</v>
      </c>
    </row>
    <row r="427" spans="1:2" x14ac:dyDescent="0.3">
      <c r="B427" t="str">
        <f>"           if (PADDR_CNT == 6'h"&amp;A422&amp;")"</f>
        <v xml:space="preserve">           if (PADDR_CNT == 6'h40)</v>
      </c>
    </row>
    <row r="428" spans="1:2" x14ac:dyDescent="0.3">
      <c r="B428" t="str">
        <f>"               sr_paddr_dat["&amp;A422&amp;"]  &lt;= sr_page_paddr_buf;"</f>
        <v xml:space="preserve">               sr_paddr_dat[40]  &lt;= sr_page_paddr_buf;</v>
      </c>
    </row>
    <row r="429" spans="1:2" x14ac:dyDescent="0.3">
      <c r="B429" t="s">
        <v>3</v>
      </c>
    </row>
    <row r="430" spans="1:2" x14ac:dyDescent="0.3">
      <c r="B430" t="str">
        <f>"               sr_paddr_dat["&amp;A422&amp;"]  &lt;= sr_paddr_dat["&amp;A422&amp;"];"</f>
        <v xml:space="preserve">               sr_paddr_dat[40]  &lt;= sr_paddr_dat[40];</v>
      </c>
    </row>
    <row r="431" spans="1:2" x14ac:dyDescent="0.3">
      <c r="B431" t="s">
        <v>4</v>
      </c>
    </row>
    <row r="432" spans="1:2" x14ac:dyDescent="0.3">
      <c r="B432" t="s">
        <v>5</v>
      </c>
    </row>
    <row r="434" spans="1:2" x14ac:dyDescent="0.3">
      <c r="A434">
        <f>A422+1</f>
        <v>41</v>
      </c>
      <c r="B434" t="str">
        <f>"    // Page Address Resister"&amp;A434</f>
        <v xml:space="preserve">    // Page Address Resister41</v>
      </c>
    </row>
    <row r="435" spans="1:2" x14ac:dyDescent="0.3">
      <c r="A435" t="str">
        <f>DEC2HEX(A434)</f>
        <v>29</v>
      </c>
      <c r="B435" t="s">
        <v>0</v>
      </c>
    </row>
    <row r="436" spans="1:2" x14ac:dyDescent="0.3">
      <c r="B436" t="s">
        <v>1</v>
      </c>
    </row>
    <row r="437" spans="1:2" x14ac:dyDescent="0.3">
      <c r="B437" t="str">
        <f>"            sr_paddr_dat["&amp;A434&amp;"]   &lt;= 24'h0;"</f>
        <v xml:space="preserve">            sr_paddr_dat[41]   &lt;= 24'h0;</v>
      </c>
    </row>
    <row r="438" spans="1:2" x14ac:dyDescent="0.3">
      <c r="B438" t="s">
        <v>2</v>
      </c>
    </row>
    <row r="439" spans="1:2" x14ac:dyDescent="0.3">
      <c r="B439" t="str">
        <f>"           if (PADDR_CNT == 6'h"&amp;A434&amp;")"</f>
        <v xml:space="preserve">           if (PADDR_CNT == 6'h41)</v>
      </c>
    </row>
    <row r="440" spans="1:2" x14ac:dyDescent="0.3">
      <c r="B440" t="str">
        <f>"               sr_paddr_dat["&amp;A434&amp;"]  &lt;= sr_page_paddr_buf;"</f>
        <v xml:space="preserve">               sr_paddr_dat[41]  &lt;= sr_page_paddr_buf;</v>
      </c>
    </row>
    <row r="441" spans="1:2" x14ac:dyDescent="0.3">
      <c r="B441" t="s">
        <v>3</v>
      </c>
    </row>
    <row r="442" spans="1:2" x14ac:dyDescent="0.3">
      <c r="B442" t="str">
        <f>"               sr_paddr_dat["&amp;A434&amp;"]  &lt;= sr_paddr_dat["&amp;A434&amp;"];"</f>
        <v xml:space="preserve">               sr_paddr_dat[41]  &lt;= sr_paddr_dat[41];</v>
      </c>
    </row>
    <row r="443" spans="1:2" x14ac:dyDescent="0.3">
      <c r="B443" t="s">
        <v>4</v>
      </c>
    </row>
    <row r="444" spans="1:2" x14ac:dyDescent="0.3">
      <c r="B444" t="s">
        <v>5</v>
      </c>
    </row>
    <row r="446" spans="1:2" x14ac:dyDescent="0.3">
      <c r="A446">
        <f>A434+1</f>
        <v>42</v>
      </c>
      <c r="B446" t="str">
        <f>"    // Page Address Resister"&amp;A446</f>
        <v xml:space="preserve">    // Page Address Resister42</v>
      </c>
    </row>
    <row r="447" spans="1:2" x14ac:dyDescent="0.3">
      <c r="A447" t="str">
        <f>DEC2HEX(A446)</f>
        <v>2A</v>
      </c>
      <c r="B447" t="s">
        <v>0</v>
      </c>
    </row>
    <row r="448" spans="1:2" x14ac:dyDescent="0.3">
      <c r="B448" t="s">
        <v>1</v>
      </c>
    </row>
    <row r="449" spans="1:2" x14ac:dyDescent="0.3">
      <c r="B449" t="str">
        <f>"            sr_paddr_dat["&amp;A446&amp;"]   &lt;= 24'h0;"</f>
        <v xml:space="preserve">            sr_paddr_dat[42]   &lt;= 24'h0;</v>
      </c>
    </row>
    <row r="450" spans="1:2" x14ac:dyDescent="0.3">
      <c r="B450" t="s">
        <v>2</v>
      </c>
    </row>
    <row r="451" spans="1:2" x14ac:dyDescent="0.3">
      <c r="B451" t="str">
        <f>"           if (PADDR_CNT == 6'h"&amp;A446&amp;")"</f>
        <v xml:space="preserve">           if (PADDR_CNT == 6'h42)</v>
      </c>
    </row>
    <row r="452" spans="1:2" x14ac:dyDescent="0.3">
      <c r="B452" t="str">
        <f>"               sr_paddr_dat["&amp;A446&amp;"]  &lt;= sr_page_paddr_buf;"</f>
        <v xml:space="preserve">               sr_paddr_dat[42]  &lt;= sr_page_paddr_buf;</v>
      </c>
    </row>
    <row r="453" spans="1:2" x14ac:dyDescent="0.3">
      <c r="B453" t="s">
        <v>3</v>
      </c>
    </row>
    <row r="454" spans="1:2" x14ac:dyDescent="0.3">
      <c r="B454" t="str">
        <f>"               sr_paddr_dat["&amp;A446&amp;"]  &lt;= sr_paddr_dat["&amp;A446&amp;"];"</f>
        <v xml:space="preserve">               sr_paddr_dat[42]  &lt;= sr_paddr_dat[42];</v>
      </c>
    </row>
    <row r="455" spans="1:2" x14ac:dyDescent="0.3">
      <c r="B455" t="s">
        <v>4</v>
      </c>
    </row>
    <row r="456" spans="1:2" x14ac:dyDescent="0.3">
      <c r="B456" t="s">
        <v>5</v>
      </c>
    </row>
    <row r="458" spans="1:2" x14ac:dyDescent="0.3">
      <c r="A458">
        <f>A446+1</f>
        <v>43</v>
      </c>
      <c r="B458" t="str">
        <f>"    // Page Address Resister"&amp;A458</f>
        <v xml:space="preserve">    // Page Address Resister43</v>
      </c>
    </row>
    <row r="459" spans="1:2" x14ac:dyDescent="0.3">
      <c r="A459" t="str">
        <f>DEC2HEX(A458)</f>
        <v>2B</v>
      </c>
      <c r="B459" t="s">
        <v>0</v>
      </c>
    </row>
    <row r="460" spans="1:2" x14ac:dyDescent="0.3">
      <c r="B460" t="s">
        <v>1</v>
      </c>
    </row>
    <row r="461" spans="1:2" x14ac:dyDescent="0.3">
      <c r="B461" t="str">
        <f>"            sr_paddr_dat["&amp;A458&amp;"]   &lt;= 24'h0;"</f>
        <v xml:space="preserve">            sr_paddr_dat[43]   &lt;= 24'h0;</v>
      </c>
    </row>
    <row r="462" spans="1:2" x14ac:dyDescent="0.3">
      <c r="B462" t="s">
        <v>2</v>
      </c>
    </row>
    <row r="463" spans="1:2" x14ac:dyDescent="0.3">
      <c r="B463" t="str">
        <f>"           if (PADDR_CNT == 6'h"&amp;A458&amp;")"</f>
        <v xml:space="preserve">           if (PADDR_CNT == 6'h43)</v>
      </c>
    </row>
    <row r="464" spans="1:2" x14ac:dyDescent="0.3">
      <c r="B464" t="str">
        <f>"               sr_paddr_dat["&amp;A458&amp;"]  &lt;= sr_page_paddr_buf;"</f>
        <v xml:space="preserve">               sr_paddr_dat[43]  &lt;= sr_page_paddr_buf;</v>
      </c>
    </row>
    <row r="465" spans="1:2" x14ac:dyDescent="0.3">
      <c r="B465" t="s">
        <v>3</v>
      </c>
    </row>
    <row r="466" spans="1:2" x14ac:dyDescent="0.3">
      <c r="B466" t="str">
        <f>"               sr_paddr_dat["&amp;A458&amp;"]  &lt;= sr_paddr_dat["&amp;A458&amp;"];"</f>
        <v xml:space="preserve">               sr_paddr_dat[43]  &lt;= sr_paddr_dat[43];</v>
      </c>
    </row>
    <row r="467" spans="1:2" x14ac:dyDescent="0.3">
      <c r="B467" t="s">
        <v>4</v>
      </c>
    </row>
    <row r="468" spans="1:2" x14ac:dyDescent="0.3">
      <c r="B468" t="s">
        <v>5</v>
      </c>
    </row>
    <row r="470" spans="1:2" x14ac:dyDescent="0.3">
      <c r="A470">
        <f>A458+1</f>
        <v>44</v>
      </c>
      <c r="B470" t="str">
        <f>"    // Page Address Resister"&amp;A470</f>
        <v xml:space="preserve">    // Page Address Resister44</v>
      </c>
    </row>
    <row r="471" spans="1:2" x14ac:dyDescent="0.3">
      <c r="A471" t="str">
        <f>DEC2HEX(A470)</f>
        <v>2C</v>
      </c>
      <c r="B471" t="s">
        <v>0</v>
      </c>
    </row>
    <row r="472" spans="1:2" x14ac:dyDescent="0.3">
      <c r="B472" t="s">
        <v>1</v>
      </c>
    </row>
    <row r="473" spans="1:2" x14ac:dyDescent="0.3">
      <c r="B473" t="str">
        <f>"            sr_paddr_dat["&amp;A470&amp;"]   &lt;= 24'h0;"</f>
        <v xml:space="preserve">            sr_paddr_dat[44]   &lt;= 24'h0;</v>
      </c>
    </row>
    <row r="474" spans="1:2" x14ac:dyDescent="0.3">
      <c r="B474" t="s">
        <v>2</v>
      </c>
    </row>
    <row r="475" spans="1:2" x14ac:dyDescent="0.3">
      <c r="B475" t="str">
        <f>"           if (PADDR_CNT == 6'h"&amp;A470&amp;")"</f>
        <v xml:space="preserve">           if (PADDR_CNT == 6'h44)</v>
      </c>
    </row>
    <row r="476" spans="1:2" x14ac:dyDescent="0.3">
      <c r="B476" t="str">
        <f>"               sr_paddr_dat["&amp;A470&amp;"]  &lt;= sr_page_paddr_buf;"</f>
        <v xml:space="preserve">               sr_paddr_dat[44]  &lt;= sr_page_paddr_buf;</v>
      </c>
    </row>
    <row r="477" spans="1:2" x14ac:dyDescent="0.3">
      <c r="B477" t="s">
        <v>3</v>
      </c>
    </row>
    <row r="478" spans="1:2" x14ac:dyDescent="0.3">
      <c r="B478" t="str">
        <f>"               sr_paddr_dat["&amp;A470&amp;"]  &lt;= sr_paddr_dat["&amp;A470&amp;"];"</f>
        <v xml:space="preserve">               sr_paddr_dat[44]  &lt;= sr_paddr_dat[44];</v>
      </c>
    </row>
    <row r="479" spans="1:2" x14ac:dyDescent="0.3">
      <c r="B479" t="s">
        <v>4</v>
      </c>
    </row>
    <row r="480" spans="1:2" x14ac:dyDescent="0.3">
      <c r="B480" t="s">
        <v>5</v>
      </c>
    </row>
    <row r="482" spans="1:2" x14ac:dyDescent="0.3">
      <c r="A482">
        <f>A470+1</f>
        <v>45</v>
      </c>
      <c r="B482" t="str">
        <f>"    // Page Address Resister"&amp;A482</f>
        <v xml:space="preserve">    // Page Address Resister45</v>
      </c>
    </row>
    <row r="483" spans="1:2" x14ac:dyDescent="0.3">
      <c r="A483" t="str">
        <f>DEC2HEX(A482)</f>
        <v>2D</v>
      </c>
      <c r="B483" t="s">
        <v>0</v>
      </c>
    </row>
    <row r="484" spans="1:2" x14ac:dyDescent="0.3">
      <c r="B484" t="s">
        <v>1</v>
      </c>
    </row>
    <row r="485" spans="1:2" x14ac:dyDescent="0.3">
      <c r="B485" t="str">
        <f>"            sr_paddr_dat["&amp;A482&amp;"]   &lt;= 24'h0;"</f>
        <v xml:space="preserve">            sr_paddr_dat[45]   &lt;= 24'h0;</v>
      </c>
    </row>
    <row r="486" spans="1:2" x14ac:dyDescent="0.3">
      <c r="B486" t="s">
        <v>2</v>
      </c>
    </row>
    <row r="487" spans="1:2" x14ac:dyDescent="0.3">
      <c r="B487" t="str">
        <f>"           if (PADDR_CNT == 6'h"&amp;A482&amp;")"</f>
        <v xml:space="preserve">           if (PADDR_CNT == 6'h45)</v>
      </c>
    </row>
    <row r="488" spans="1:2" x14ac:dyDescent="0.3">
      <c r="B488" t="str">
        <f>"               sr_paddr_dat["&amp;A482&amp;"]  &lt;= sr_page_paddr_buf;"</f>
        <v xml:space="preserve">               sr_paddr_dat[45]  &lt;= sr_page_paddr_buf;</v>
      </c>
    </row>
    <row r="489" spans="1:2" x14ac:dyDescent="0.3">
      <c r="B489" t="s">
        <v>3</v>
      </c>
    </row>
    <row r="490" spans="1:2" x14ac:dyDescent="0.3">
      <c r="B490" t="str">
        <f>"               sr_paddr_dat["&amp;A482&amp;"]  &lt;= sr_paddr_dat["&amp;A482&amp;"];"</f>
        <v xml:space="preserve">               sr_paddr_dat[45]  &lt;= sr_paddr_dat[45];</v>
      </c>
    </row>
    <row r="491" spans="1:2" x14ac:dyDescent="0.3">
      <c r="B491" t="s">
        <v>4</v>
      </c>
    </row>
    <row r="492" spans="1:2" x14ac:dyDescent="0.3">
      <c r="B492" t="s">
        <v>5</v>
      </c>
    </row>
    <row r="494" spans="1:2" x14ac:dyDescent="0.3">
      <c r="A494">
        <f>A482+1</f>
        <v>46</v>
      </c>
      <c r="B494" t="str">
        <f>"    // Page Address Resister"&amp;A494</f>
        <v xml:space="preserve">    // Page Address Resister46</v>
      </c>
    </row>
    <row r="495" spans="1:2" x14ac:dyDescent="0.3">
      <c r="A495" t="str">
        <f>DEC2HEX(A494)</f>
        <v>2E</v>
      </c>
      <c r="B495" t="s">
        <v>0</v>
      </c>
    </row>
    <row r="496" spans="1:2" x14ac:dyDescent="0.3">
      <c r="B496" t="s">
        <v>1</v>
      </c>
    </row>
    <row r="497" spans="1:2" x14ac:dyDescent="0.3">
      <c r="B497" t="str">
        <f>"            sr_paddr_dat["&amp;A494&amp;"]   &lt;= 24'h0;"</f>
        <v xml:space="preserve">            sr_paddr_dat[46]   &lt;= 24'h0;</v>
      </c>
    </row>
    <row r="498" spans="1:2" x14ac:dyDescent="0.3">
      <c r="B498" t="s">
        <v>2</v>
      </c>
    </row>
    <row r="499" spans="1:2" x14ac:dyDescent="0.3">
      <c r="B499" t="str">
        <f>"           if (PADDR_CNT == 6'h"&amp;A494&amp;")"</f>
        <v xml:space="preserve">           if (PADDR_CNT == 6'h46)</v>
      </c>
    </row>
    <row r="500" spans="1:2" x14ac:dyDescent="0.3">
      <c r="B500" t="str">
        <f>"               sr_paddr_dat["&amp;A494&amp;"]  &lt;= sr_page_paddr_buf;"</f>
        <v xml:space="preserve">               sr_paddr_dat[46]  &lt;= sr_page_paddr_buf;</v>
      </c>
    </row>
    <row r="501" spans="1:2" x14ac:dyDescent="0.3">
      <c r="B501" t="s">
        <v>3</v>
      </c>
    </row>
    <row r="502" spans="1:2" x14ac:dyDescent="0.3">
      <c r="B502" t="str">
        <f>"               sr_paddr_dat["&amp;A494&amp;"]  &lt;= sr_paddr_dat["&amp;A494&amp;"];"</f>
        <v xml:space="preserve">               sr_paddr_dat[46]  &lt;= sr_paddr_dat[46];</v>
      </c>
    </row>
    <row r="503" spans="1:2" x14ac:dyDescent="0.3">
      <c r="B503" t="s">
        <v>4</v>
      </c>
    </row>
    <row r="504" spans="1:2" x14ac:dyDescent="0.3">
      <c r="B504" t="s">
        <v>5</v>
      </c>
    </row>
    <row r="506" spans="1:2" x14ac:dyDescent="0.3">
      <c r="A506">
        <f>A494+1</f>
        <v>47</v>
      </c>
      <c r="B506" t="str">
        <f>"    // Page Address Resister"&amp;A506</f>
        <v xml:space="preserve">    // Page Address Resister47</v>
      </c>
    </row>
    <row r="507" spans="1:2" x14ac:dyDescent="0.3">
      <c r="A507" t="str">
        <f>DEC2HEX(A506)</f>
        <v>2F</v>
      </c>
      <c r="B507" t="s">
        <v>0</v>
      </c>
    </row>
    <row r="508" spans="1:2" x14ac:dyDescent="0.3">
      <c r="B508" t="s">
        <v>1</v>
      </c>
    </row>
    <row r="509" spans="1:2" x14ac:dyDescent="0.3">
      <c r="B509" t="str">
        <f>"            sr_paddr_dat["&amp;A506&amp;"]   &lt;= 24'h0;"</f>
        <v xml:space="preserve">            sr_paddr_dat[47]   &lt;= 24'h0;</v>
      </c>
    </row>
    <row r="510" spans="1:2" x14ac:dyDescent="0.3">
      <c r="B510" t="s">
        <v>2</v>
      </c>
    </row>
    <row r="511" spans="1:2" x14ac:dyDescent="0.3">
      <c r="B511" t="str">
        <f>"           if (PADDR_CNT == 6'h"&amp;A506&amp;")"</f>
        <v xml:space="preserve">           if (PADDR_CNT == 6'h47)</v>
      </c>
    </row>
    <row r="512" spans="1:2" x14ac:dyDescent="0.3">
      <c r="B512" t="str">
        <f>"               sr_paddr_dat["&amp;A506&amp;"]  &lt;= sr_page_paddr_buf;"</f>
        <v xml:space="preserve">               sr_paddr_dat[47]  &lt;= sr_page_paddr_buf;</v>
      </c>
    </row>
    <row r="513" spans="1:2" x14ac:dyDescent="0.3">
      <c r="B513" t="s">
        <v>3</v>
      </c>
    </row>
    <row r="514" spans="1:2" x14ac:dyDescent="0.3">
      <c r="B514" t="str">
        <f>"               sr_paddr_dat["&amp;A506&amp;"]  &lt;= sr_paddr_dat["&amp;A506&amp;"];"</f>
        <v xml:space="preserve">               sr_paddr_dat[47]  &lt;= sr_paddr_dat[47];</v>
      </c>
    </row>
    <row r="515" spans="1:2" x14ac:dyDescent="0.3">
      <c r="B515" t="s">
        <v>4</v>
      </c>
    </row>
    <row r="516" spans="1:2" x14ac:dyDescent="0.3">
      <c r="B516" t="s">
        <v>5</v>
      </c>
    </row>
    <row r="518" spans="1:2" x14ac:dyDescent="0.3">
      <c r="A518">
        <f>A506+1</f>
        <v>48</v>
      </c>
      <c r="B518" t="str">
        <f>"    // Page Address Resister"&amp;A518</f>
        <v xml:space="preserve">    // Page Address Resister48</v>
      </c>
    </row>
    <row r="519" spans="1:2" x14ac:dyDescent="0.3">
      <c r="A519" t="str">
        <f>DEC2HEX(A518)</f>
        <v>30</v>
      </c>
      <c r="B519" t="s">
        <v>0</v>
      </c>
    </row>
    <row r="520" spans="1:2" x14ac:dyDescent="0.3">
      <c r="B520" t="s">
        <v>1</v>
      </c>
    </row>
    <row r="521" spans="1:2" x14ac:dyDescent="0.3">
      <c r="B521" t="str">
        <f>"            sr_paddr_dat["&amp;A518&amp;"]   &lt;= 24'h0;"</f>
        <v xml:space="preserve">            sr_paddr_dat[48]   &lt;= 24'h0;</v>
      </c>
    </row>
    <row r="522" spans="1:2" x14ac:dyDescent="0.3">
      <c r="B522" t="s">
        <v>2</v>
      </c>
    </row>
    <row r="523" spans="1:2" x14ac:dyDescent="0.3">
      <c r="B523" t="str">
        <f>"           if (PADDR_CNT == 6'h"&amp;A518&amp;")"</f>
        <v xml:space="preserve">           if (PADDR_CNT == 6'h48)</v>
      </c>
    </row>
    <row r="524" spans="1:2" x14ac:dyDescent="0.3">
      <c r="B524" t="str">
        <f>"               sr_paddr_dat["&amp;A518&amp;"]  &lt;= sr_page_paddr_buf;"</f>
        <v xml:space="preserve">               sr_paddr_dat[48]  &lt;= sr_page_paddr_buf;</v>
      </c>
    </row>
    <row r="525" spans="1:2" x14ac:dyDescent="0.3">
      <c r="B525" t="s">
        <v>3</v>
      </c>
    </row>
    <row r="526" spans="1:2" x14ac:dyDescent="0.3">
      <c r="B526" t="str">
        <f>"               sr_paddr_dat["&amp;A518&amp;"]  &lt;= sr_paddr_dat["&amp;A518&amp;"];"</f>
        <v xml:space="preserve">               sr_paddr_dat[48]  &lt;= sr_paddr_dat[48];</v>
      </c>
    </row>
    <row r="527" spans="1:2" x14ac:dyDescent="0.3">
      <c r="B527" t="s">
        <v>4</v>
      </c>
    </row>
    <row r="528" spans="1:2" x14ac:dyDescent="0.3">
      <c r="B528" t="s">
        <v>5</v>
      </c>
    </row>
    <row r="530" spans="1:2" x14ac:dyDescent="0.3">
      <c r="A530">
        <f>A518+1</f>
        <v>49</v>
      </c>
      <c r="B530" t="str">
        <f>"    // Page Address Resister"&amp;A530</f>
        <v xml:space="preserve">    // Page Address Resister49</v>
      </c>
    </row>
    <row r="531" spans="1:2" x14ac:dyDescent="0.3">
      <c r="A531" t="str">
        <f>DEC2HEX(A530)</f>
        <v>31</v>
      </c>
      <c r="B531" t="s">
        <v>0</v>
      </c>
    </row>
    <row r="532" spans="1:2" x14ac:dyDescent="0.3">
      <c r="B532" t="s">
        <v>1</v>
      </c>
    </row>
    <row r="533" spans="1:2" x14ac:dyDescent="0.3">
      <c r="B533" t="str">
        <f>"            sr_paddr_dat["&amp;A530&amp;"]   &lt;= 24'h0;"</f>
        <v xml:space="preserve">            sr_paddr_dat[49]   &lt;= 24'h0;</v>
      </c>
    </row>
    <row r="534" spans="1:2" x14ac:dyDescent="0.3">
      <c r="B534" t="s">
        <v>2</v>
      </c>
    </row>
    <row r="535" spans="1:2" x14ac:dyDescent="0.3">
      <c r="B535" t="str">
        <f>"           if (PADDR_CNT == 6'h"&amp;A530&amp;")"</f>
        <v xml:space="preserve">           if (PADDR_CNT == 6'h49)</v>
      </c>
    </row>
    <row r="536" spans="1:2" x14ac:dyDescent="0.3">
      <c r="B536" t="str">
        <f>"               sr_paddr_dat["&amp;A530&amp;"]  &lt;= sr_page_paddr_buf;"</f>
        <v xml:space="preserve">               sr_paddr_dat[49]  &lt;= sr_page_paddr_buf;</v>
      </c>
    </row>
    <row r="537" spans="1:2" x14ac:dyDescent="0.3">
      <c r="B537" t="s">
        <v>3</v>
      </c>
    </row>
    <row r="538" spans="1:2" x14ac:dyDescent="0.3">
      <c r="B538" t="str">
        <f>"               sr_paddr_dat["&amp;A530&amp;"]  &lt;= sr_paddr_dat["&amp;A530&amp;"];"</f>
        <v xml:space="preserve">               sr_paddr_dat[49]  &lt;= sr_paddr_dat[49];</v>
      </c>
    </row>
    <row r="539" spans="1:2" x14ac:dyDescent="0.3">
      <c r="B539" t="s">
        <v>4</v>
      </c>
    </row>
    <row r="540" spans="1:2" x14ac:dyDescent="0.3">
      <c r="B540" t="s">
        <v>5</v>
      </c>
    </row>
    <row r="542" spans="1:2" x14ac:dyDescent="0.3">
      <c r="A542">
        <f>A530+1</f>
        <v>50</v>
      </c>
      <c r="B542" t="str">
        <f>"    // Page Address Resister"&amp;A542</f>
        <v xml:space="preserve">    // Page Address Resister50</v>
      </c>
    </row>
    <row r="543" spans="1:2" x14ac:dyDescent="0.3">
      <c r="A543" t="str">
        <f>DEC2HEX(A542)</f>
        <v>32</v>
      </c>
      <c r="B543" t="s">
        <v>0</v>
      </c>
    </row>
    <row r="544" spans="1:2" x14ac:dyDescent="0.3">
      <c r="B544" t="s">
        <v>1</v>
      </c>
    </row>
    <row r="545" spans="1:2" x14ac:dyDescent="0.3">
      <c r="B545" t="str">
        <f>"            sr_paddr_dat["&amp;A542&amp;"]   &lt;= 24'h0;"</f>
        <v xml:space="preserve">            sr_paddr_dat[50]   &lt;= 24'h0;</v>
      </c>
    </row>
    <row r="546" spans="1:2" x14ac:dyDescent="0.3">
      <c r="B546" t="s">
        <v>2</v>
      </c>
    </row>
    <row r="547" spans="1:2" x14ac:dyDescent="0.3">
      <c r="B547" t="str">
        <f>"           if (PADDR_CNT == 6'h"&amp;A542&amp;")"</f>
        <v xml:space="preserve">           if (PADDR_CNT == 6'h50)</v>
      </c>
    </row>
    <row r="548" spans="1:2" x14ac:dyDescent="0.3">
      <c r="B548" t="str">
        <f>"               sr_paddr_dat["&amp;A542&amp;"]  &lt;= sr_page_paddr_buf;"</f>
        <v xml:space="preserve">               sr_paddr_dat[50]  &lt;= sr_page_paddr_buf;</v>
      </c>
    </row>
    <row r="549" spans="1:2" x14ac:dyDescent="0.3">
      <c r="B549" t="s">
        <v>3</v>
      </c>
    </row>
    <row r="550" spans="1:2" x14ac:dyDescent="0.3">
      <c r="B550" t="str">
        <f>"               sr_paddr_dat["&amp;A542&amp;"]  &lt;= sr_paddr_dat["&amp;A542&amp;"];"</f>
        <v xml:space="preserve">               sr_paddr_dat[50]  &lt;= sr_paddr_dat[50];</v>
      </c>
    </row>
    <row r="551" spans="1:2" x14ac:dyDescent="0.3">
      <c r="B551" t="s">
        <v>4</v>
      </c>
    </row>
    <row r="552" spans="1:2" x14ac:dyDescent="0.3">
      <c r="B552" t="s">
        <v>5</v>
      </c>
    </row>
    <row r="554" spans="1:2" x14ac:dyDescent="0.3">
      <c r="A554">
        <f>A542+1</f>
        <v>51</v>
      </c>
      <c r="B554" t="str">
        <f>"    // Page Address Resister"&amp;A554</f>
        <v xml:space="preserve">    // Page Address Resister51</v>
      </c>
    </row>
    <row r="555" spans="1:2" x14ac:dyDescent="0.3">
      <c r="A555" t="str">
        <f>DEC2HEX(A554)</f>
        <v>33</v>
      </c>
      <c r="B555" t="s">
        <v>0</v>
      </c>
    </row>
    <row r="556" spans="1:2" x14ac:dyDescent="0.3">
      <c r="B556" t="s">
        <v>1</v>
      </c>
    </row>
    <row r="557" spans="1:2" x14ac:dyDescent="0.3">
      <c r="B557" t="str">
        <f>"            sr_paddr_dat["&amp;A554&amp;"]   &lt;= 24'h0;"</f>
        <v xml:space="preserve">            sr_paddr_dat[51]   &lt;= 24'h0;</v>
      </c>
    </row>
    <row r="558" spans="1:2" x14ac:dyDescent="0.3">
      <c r="B558" t="s">
        <v>2</v>
      </c>
    </row>
    <row r="559" spans="1:2" x14ac:dyDescent="0.3">
      <c r="B559" t="str">
        <f>"           if (PADDR_CNT == 6'h"&amp;A554&amp;")"</f>
        <v xml:space="preserve">           if (PADDR_CNT == 6'h51)</v>
      </c>
    </row>
    <row r="560" spans="1:2" x14ac:dyDescent="0.3">
      <c r="B560" t="str">
        <f>"               sr_paddr_dat["&amp;A554&amp;"]  &lt;= sr_page_paddr_buf;"</f>
        <v xml:space="preserve">               sr_paddr_dat[51]  &lt;= sr_page_paddr_buf;</v>
      </c>
    </row>
    <row r="561" spans="1:2" x14ac:dyDescent="0.3">
      <c r="B561" t="s">
        <v>3</v>
      </c>
    </row>
    <row r="562" spans="1:2" x14ac:dyDescent="0.3">
      <c r="B562" t="str">
        <f>"               sr_paddr_dat["&amp;A554&amp;"]  &lt;= sr_paddr_dat["&amp;A554&amp;"];"</f>
        <v xml:space="preserve">               sr_paddr_dat[51]  &lt;= sr_paddr_dat[51];</v>
      </c>
    </row>
    <row r="563" spans="1:2" x14ac:dyDescent="0.3">
      <c r="B563" t="s">
        <v>4</v>
      </c>
    </row>
    <row r="564" spans="1:2" x14ac:dyDescent="0.3">
      <c r="B564" t="s">
        <v>5</v>
      </c>
    </row>
    <row r="566" spans="1:2" x14ac:dyDescent="0.3">
      <c r="A566">
        <f>A554+1</f>
        <v>52</v>
      </c>
      <c r="B566" t="str">
        <f>"    // Page Address Resister"&amp;A566</f>
        <v xml:space="preserve">    // Page Address Resister52</v>
      </c>
    </row>
    <row r="567" spans="1:2" x14ac:dyDescent="0.3">
      <c r="A567" t="str">
        <f>DEC2HEX(A566)</f>
        <v>34</v>
      </c>
      <c r="B567" t="s">
        <v>0</v>
      </c>
    </row>
    <row r="568" spans="1:2" x14ac:dyDescent="0.3">
      <c r="B568" t="s">
        <v>1</v>
      </c>
    </row>
    <row r="569" spans="1:2" x14ac:dyDescent="0.3">
      <c r="B569" t="str">
        <f>"            sr_paddr_dat["&amp;A566&amp;"]   &lt;= 24'h0;"</f>
        <v xml:space="preserve">            sr_paddr_dat[52]   &lt;= 24'h0;</v>
      </c>
    </row>
    <row r="570" spans="1:2" x14ac:dyDescent="0.3">
      <c r="B570" t="s">
        <v>2</v>
      </c>
    </row>
    <row r="571" spans="1:2" x14ac:dyDescent="0.3">
      <c r="B571" t="str">
        <f>"           if (PADDR_CNT == 6'h"&amp;A566&amp;")"</f>
        <v xml:space="preserve">           if (PADDR_CNT == 6'h52)</v>
      </c>
    </row>
    <row r="572" spans="1:2" x14ac:dyDescent="0.3">
      <c r="B572" t="str">
        <f>"               sr_paddr_dat["&amp;A566&amp;"]  &lt;= sr_page_paddr_buf;"</f>
        <v xml:space="preserve">               sr_paddr_dat[52]  &lt;= sr_page_paddr_buf;</v>
      </c>
    </row>
    <row r="573" spans="1:2" x14ac:dyDescent="0.3">
      <c r="B573" t="s">
        <v>3</v>
      </c>
    </row>
    <row r="574" spans="1:2" x14ac:dyDescent="0.3">
      <c r="B574" t="str">
        <f>"               sr_paddr_dat["&amp;A566&amp;"]  &lt;= sr_paddr_dat["&amp;A566&amp;"];"</f>
        <v xml:space="preserve">               sr_paddr_dat[52]  &lt;= sr_paddr_dat[52];</v>
      </c>
    </row>
    <row r="575" spans="1:2" x14ac:dyDescent="0.3">
      <c r="B575" t="s">
        <v>4</v>
      </c>
    </row>
    <row r="576" spans="1:2" x14ac:dyDescent="0.3">
      <c r="B576" t="s">
        <v>5</v>
      </c>
    </row>
    <row r="578" spans="1:2" x14ac:dyDescent="0.3">
      <c r="A578">
        <f>A566+1</f>
        <v>53</v>
      </c>
      <c r="B578" t="str">
        <f>"    // Page Address Resister"&amp;A578</f>
        <v xml:space="preserve">    // Page Address Resister53</v>
      </c>
    </row>
    <row r="579" spans="1:2" x14ac:dyDescent="0.3">
      <c r="A579" t="str">
        <f>DEC2HEX(A578)</f>
        <v>35</v>
      </c>
      <c r="B579" t="s">
        <v>0</v>
      </c>
    </row>
    <row r="580" spans="1:2" x14ac:dyDescent="0.3">
      <c r="B580" t="s">
        <v>1</v>
      </c>
    </row>
    <row r="581" spans="1:2" x14ac:dyDescent="0.3">
      <c r="B581" t="str">
        <f>"            sr_paddr_dat["&amp;A578&amp;"]   &lt;= 24'h0;"</f>
        <v xml:space="preserve">            sr_paddr_dat[53]   &lt;= 24'h0;</v>
      </c>
    </row>
    <row r="582" spans="1:2" x14ac:dyDescent="0.3">
      <c r="B582" t="s">
        <v>2</v>
      </c>
    </row>
    <row r="583" spans="1:2" x14ac:dyDescent="0.3">
      <c r="B583" t="str">
        <f>"           if (PADDR_CNT == 6'h"&amp;A578&amp;")"</f>
        <v xml:space="preserve">           if (PADDR_CNT == 6'h53)</v>
      </c>
    </row>
    <row r="584" spans="1:2" x14ac:dyDescent="0.3">
      <c r="B584" t="str">
        <f>"               sr_paddr_dat["&amp;A578&amp;"]  &lt;= sr_page_paddr_buf;"</f>
        <v xml:space="preserve">               sr_paddr_dat[53]  &lt;= sr_page_paddr_buf;</v>
      </c>
    </row>
    <row r="585" spans="1:2" x14ac:dyDescent="0.3">
      <c r="B585" t="s">
        <v>3</v>
      </c>
    </row>
    <row r="586" spans="1:2" x14ac:dyDescent="0.3">
      <c r="B586" t="str">
        <f>"               sr_paddr_dat["&amp;A578&amp;"]  &lt;= sr_paddr_dat["&amp;A578&amp;"];"</f>
        <v xml:space="preserve">               sr_paddr_dat[53]  &lt;= sr_paddr_dat[53];</v>
      </c>
    </row>
    <row r="587" spans="1:2" x14ac:dyDescent="0.3">
      <c r="B587" t="s">
        <v>4</v>
      </c>
    </row>
    <row r="588" spans="1:2" x14ac:dyDescent="0.3">
      <c r="B588" t="s">
        <v>5</v>
      </c>
    </row>
    <row r="590" spans="1:2" x14ac:dyDescent="0.3">
      <c r="A590">
        <f>A578+1</f>
        <v>54</v>
      </c>
      <c r="B590" t="str">
        <f>"    // Page Address Resister"&amp;A590</f>
        <v xml:space="preserve">    // Page Address Resister54</v>
      </c>
    </row>
    <row r="591" spans="1:2" x14ac:dyDescent="0.3">
      <c r="A591" t="str">
        <f>DEC2HEX(A590)</f>
        <v>36</v>
      </c>
      <c r="B591" t="s">
        <v>0</v>
      </c>
    </row>
    <row r="592" spans="1:2" x14ac:dyDescent="0.3">
      <c r="B592" t="s">
        <v>1</v>
      </c>
    </row>
    <row r="593" spans="1:2" x14ac:dyDescent="0.3">
      <c r="B593" t="str">
        <f>"            sr_paddr_dat["&amp;A590&amp;"]   &lt;= 24'h0;"</f>
        <v xml:space="preserve">            sr_paddr_dat[54]   &lt;= 24'h0;</v>
      </c>
    </row>
    <row r="594" spans="1:2" x14ac:dyDescent="0.3">
      <c r="B594" t="s">
        <v>2</v>
      </c>
    </row>
    <row r="595" spans="1:2" x14ac:dyDescent="0.3">
      <c r="B595" t="str">
        <f>"           if (PADDR_CNT == 6'h"&amp;A590&amp;")"</f>
        <v xml:space="preserve">           if (PADDR_CNT == 6'h54)</v>
      </c>
    </row>
    <row r="596" spans="1:2" x14ac:dyDescent="0.3">
      <c r="B596" t="str">
        <f>"               sr_paddr_dat["&amp;A590&amp;"]  &lt;= sr_page_paddr_buf;"</f>
        <v xml:space="preserve">               sr_paddr_dat[54]  &lt;= sr_page_paddr_buf;</v>
      </c>
    </row>
    <row r="597" spans="1:2" x14ac:dyDescent="0.3">
      <c r="B597" t="s">
        <v>3</v>
      </c>
    </row>
    <row r="598" spans="1:2" x14ac:dyDescent="0.3">
      <c r="B598" t="str">
        <f>"               sr_paddr_dat["&amp;A590&amp;"]  &lt;= sr_paddr_dat["&amp;A590&amp;"];"</f>
        <v xml:space="preserve">               sr_paddr_dat[54]  &lt;= sr_paddr_dat[54];</v>
      </c>
    </row>
    <row r="599" spans="1:2" x14ac:dyDescent="0.3">
      <c r="B599" t="s">
        <v>4</v>
      </c>
    </row>
    <row r="600" spans="1:2" x14ac:dyDescent="0.3">
      <c r="B600" t="s">
        <v>5</v>
      </c>
    </row>
    <row r="602" spans="1:2" x14ac:dyDescent="0.3">
      <c r="A602">
        <f>A590+1</f>
        <v>55</v>
      </c>
      <c r="B602" t="str">
        <f>"    // Page Address Resister"&amp;A602</f>
        <v xml:space="preserve">    // Page Address Resister55</v>
      </c>
    </row>
    <row r="603" spans="1:2" x14ac:dyDescent="0.3">
      <c r="A603" t="str">
        <f>DEC2HEX(A602)</f>
        <v>37</v>
      </c>
      <c r="B603" t="s">
        <v>0</v>
      </c>
    </row>
    <row r="604" spans="1:2" x14ac:dyDescent="0.3">
      <c r="B604" t="s">
        <v>1</v>
      </c>
    </row>
    <row r="605" spans="1:2" x14ac:dyDescent="0.3">
      <c r="B605" t="str">
        <f>"            sr_paddr_dat["&amp;A602&amp;"]   &lt;= 24'h0;"</f>
        <v xml:space="preserve">            sr_paddr_dat[55]   &lt;= 24'h0;</v>
      </c>
    </row>
    <row r="606" spans="1:2" x14ac:dyDescent="0.3">
      <c r="B606" t="s">
        <v>2</v>
      </c>
    </row>
    <row r="607" spans="1:2" x14ac:dyDescent="0.3">
      <c r="B607" t="str">
        <f>"           if (PADDR_CNT == 6'h"&amp;A602&amp;")"</f>
        <v xml:space="preserve">           if (PADDR_CNT == 6'h55)</v>
      </c>
    </row>
    <row r="608" spans="1:2" x14ac:dyDescent="0.3">
      <c r="B608" t="str">
        <f>"               sr_paddr_dat["&amp;A602&amp;"]  &lt;= sr_page_paddr_buf;"</f>
        <v xml:space="preserve">               sr_paddr_dat[55]  &lt;= sr_page_paddr_buf;</v>
      </c>
    </row>
    <row r="609" spans="1:2" x14ac:dyDescent="0.3">
      <c r="B609" t="s">
        <v>3</v>
      </c>
    </row>
    <row r="610" spans="1:2" x14ac:dyDescent="0.3">
      <c r="B610" t="str">
        <f>"               sr_paddr_dat["&amp;A602&amp;"]  &lt;= sr_paddr_dat["&amp;A602&amp;"];"</f>
        <v xml:space="preserve">               sr_paddr_dat[55]  &lt;= sr_paddr_dat[55];</v>
      </c>
    </row>
    <row r="611" spans="1:2" x14ac:dyDescent="0.3">
      <c r="B611" t="s">
        <v>4</v>
      </c>
    </row>
    <row r="612" spans="1:2" x14ac:dyDescent="0.3">
      <c r="B612" t="s">
        <v>5</v>
      </c>
    </row>
    <row r="614" spans="1:2" x14ac:dyDescent="0.3">
      <c r="A614">
        <f>A602+1</f>
        <v>56</v>
      </c>
      <c r="B614" t="str">
        <f>"    // Page Address Resister"&amp;A614</f>
        <v xml:space="preserve">    // Page Address Resister56</v>
      </c>
    </row>
    <row r="615" spans="1:2" x14ac:dyDescent="0.3">
      <c r="A615" t="str">
        <f>DEC2HEX(A614)</f>
        <v>38</v>
      </c>
      <c r="B615" t="s">
        <v>0</v>
      </c>
    </row>
    <row r="616" spans="1:2" x14ac:dyDescent="0.3">
      <c r="B616" t="s">
        <v>1</v>
      </c>
    </row>
    <row r="617" spans="1:2" x14ac:dyDescent="0.3">
      <c r="B617" t="str">
        <f>"            sr_paddr_dat["&amp;A614&amp;"]   &lt;= 24'h0;"</f>
        <v xml:space="preserve">            sr_paddr_dat[56]   &lt;= 24'h0;</v>
      </c>
    </row>
    <row r="618" spans="1:2" x14ac:dyDescent="0.3">
      <c r="B618" t="s">
        <v>2</v>
      </c>
    </row>
    <row r="619" spans="1:2" x14ac:dyDescent="0.3">
      <c r="B619" t="str">
        <f>"           if (PADDR_CNT == 6'h"&amp;A614&amp;")"</f>
        <v xml:space="preserve">           if (PADDR_CNT == 6'h56)</v>
      </c>
    </row>
    <row r="620" spans="1:2" x14ac:dyDescent="0.3">
      <c r="B620" t="str">
        <f>"               sr_paddr_dat["&amp;A614&amp;"]  &lt;= sr_page_paddr_buf;"</f>
        <v xml:space="preserve">               sr_paddr_dat[56]  &lt;= sr_page_paddr_buf;</v>
      </c>
    </row>
    <row r="621" spans="1:2" x14ac:dyDescent="0.3">
      <c r="B621" t="s">
        <v>3</v>
      </c>
    </row>
    <row r="622" spans="1:2" x14ac:dyDescent="0.3">
      <c r="B622" t="str">
        <f>"               sr_paddr_dat["&amp;A614&amp;"]  &lt;= sr_paddr_dat["&amp;A614&amp;"];"</f>
        <v xml:space="preserve">               sr_paddr_dat[56]  &lt;= sr_paddr_dat[56];</v>
      </c>
    </row>
    <row r="623" spans="1:2" x14ac:dyDescent="0.3">
      <c r="B623" t="s">
        <v>4</v>
      </c>
    </row>
    <row r="624" spans="1:2" x14ac:dyDescent="0.3">
      <c r="B624" t="s">
        <v>5</v>
      </c>
    </row>
    <row r="626" spans="1:2" x14ac:dyDescent="0.3">
      <c r="A626">
        <f>A614+1</f>
        <v>57</v>
      </c>
      <c r="B626" t="str">
        <f>"    // Page Address Resister"&amp;A626</f>
        <v xml:space="preserve">    // Page Address Resister57</v>
      </c>
    </row>
    <row r="627" spans="1:2" x14ac:dyDescent="0.3">
      <c r="A627" t="str">
        <f>DEC2HEX(A626)</f>
        <v>39</v>
      </c>
      <c r="B627" t="s">
        <v>0</v>
      </c>
    </row>
    <row r="628" spans="1:2" x14ac:dyDescent="0.3">
      <c r="B628" t="s">
        <v>1</v>
      </c>
    </row>
    <row r="629" spans="1:2" x14ac:dyDescent="0.3">
      <c r="B629" t="str">
        <f>"            sr_paddr_dat["&amp;A626&amp;"]   &lt;= 24'h0;"</f>
        <v xml:space="preserve">            sr_paddr_dat[57]   &lt;= 24'h0;</v>
      </c>
    </row>
    <row r="630" spans="1:2" x14ac:dyDescent="0.3">
      <c r="B630" t="s">
        <v>2</v>
      </c>
    </row>
    <row r="631" spans="1:2" x14ac:dyDescent="0.3">
      <c r="B631" t="str">
        <f>"           if (PADDR_CNT == 6'h"&amp;A626&amp;")"</f>
        <v xml:space="preserve">           if (PADDR_CNT == 6'h57)</v>
      </c>
    </row>
    <row r="632" spans="1:2" x14ac:dyDescent="0.3">
      <c r="B632" t="str">
        <f>"               sr_paddr_dat["&amp;A626&amp;"]  &lt;= sr_page_paddr_buf;"</f>
        <v xml:space="preserve">               sr_paddr_dat[57]  &lt;= sr_page_paddr_buf;</v>
      </c>
    </row>
    <row r="633" spans="1:2" x14ac:dyDescent="0.3">
      <c r="B633" t="s">
        <v>3</v>
      </c>
    </row>
    <row r="634" spans="1:2" x14ac:dyDescent="0.3">
      <c r="B634" t="str">
        <f>"               sr_paddr_dat["&amp;A626&amp;"]  &lt;= sr_paddr_dat["&amp;A626&amp;"];"</f>
        <v xml:space="preserve">               sr_paddr_dat[57]  &lt;= sr_paddr_dat[57];</v>
      </c>
    </row>
    <row r="635" spans="1:2" x14ac:dyDescent="0.3">
      <c r="B635" t="s">
        <v>4</v>
      </c>
    </row>
    <row r="636" spans="1:2" x14ac:dyDescent="0.3">
      <c r="B636" t="s">
        <v>5</v>
      </c>
    </row>
    <row r="638" spans="1:2" x14ac:dyDescent="0.3">
      <c r="A638">
        <f>A626+1</f>
        <v>58</v>
      </c>
      <c r="B638" t="str">
        <f>"    // Page Address Resister"&amp;A638</f>
        <v xml:space="preserve">    // Page Address Resister58</v>
      </c>
    </row>
    <row r="639" spans="1:2" x14ac:dyDescent="0.3">
      <c r="A639" t="str">
        <f>DEC2HEX(A638)</f>
        <v>3A</v>
      </c>
      <c r="B639" t="s">
        <v>0</v>
      </c>
    </row>
    <row r="640" spans="1:2" x14ac:dyDescent="0.3">
      <c r="B640" t="s">
        <v>1</v>
      </c>
    </row>
    <row r="641" spans="1:2" x14ac:dyDescent="0.3">
      <c r="B641" t="str">
        <f>"            sr_paddr_dat["&amp;A638&amp;"]   &lt;= 24'h0;"</f>
        <v xml:space="preserve">            sr_paddr_dat[58]   &lt;= 24'h0;</v>
      </c>
    </row>
    <row r="642" spans="1:2" x14ac:dyDescent="0.3">
      <c r="B642" t="s">
        <v>2</v>
      </c>
    </row>
    <row r="643" spans="1:2" x14ac:dyDescent="0.3">
      <c r="B643" t="str">
        <f>"           if (PADDR_CNT == 6'h"&amp;A638&amp;")"</f>
        <v xml:space="preserve">           if (PADDR_CNT == 6'h58)</v>
      </c>
    </row>
    <row r="644" spans="1:2" x14ac:dyDescent="0.3">
      <c r="B644" t="str">
        <f>"               sr_paddr_dat["&amp;A638&amp;"]  &lt;= sr_page_paddr_buf;"</f>
        <v xml:space="preserve">               sr_paddr_dat[58]  &lt;= sr_page_paddr_buf;</v>
      </c>
    </row>
    <row r="645" spans="1:2" x14ac:dyDescent="0.3">
      <c r="B645" t="s">
        <v>3</v>
      </c>
    </row>
    <row r="646" spans="1:2" x14ac:dyDescent="0.3">
      <c r="B646" t="str">
        <f>"               sr_paddr_dat["&amp;A638&amp;"]  &lt;= sr_paddr_dat["&amp;A638&amp;"];"</f>
        <v xml:space="preserve">               sr_paddr_dat[58]  &lt;= sr_paddr_dat[58];</v>
      </c>
    </row>
    <row r="647" spans="1:2" x14ac:dyDescent="0.3">
      <c r="B647" t="s">
        <v>4</v>
      </c>
    </row>
    <row r="648" spans="1:2" x14ac:dyDescent="0.3">
      <c r="B648" t="s">
        <v>5</v>
      </c>
    </row>
    <row r="650" spans="1:2" x14ac:dyDescent="0.3">
      <c r="A650">
        <f>A638+1</f>
        <v>59</v>
      </c>
      <c r="B650" t="str">
        <f>"    // Page Address Resister"&amp;A650</f>
        <v xml:space="preserve">    // Page Address Resister59</v>
      </c>
    </row>
    <row r="651" spans="1:2" x14ac:dyDescent="0.3">
      <c r="A651" t="str">
        <f>DEC2HEX(A650)</f>
        <v>3B</v>
      </c>
      <c r="B651" t="s">
        <v>0</v>
      </c>
    </row>
    <row r="652" spans="1:2" x14ac:dyDescent="0.3">
      <c r="B652" t="s">
        <v>1</v>
      </c>
    </row>
    <row r="653" spans="1:2" x14ac:dyDescent="0.3">
      <c r="B653" t="str">
        <f>"            sr_paddr_dat["&amp;A650&amp;"]   &lt;= 24'h0;"</f>
        <v xml:space="preserve">            sr_paddr_dat[59]   &lt;= 24'h0;</v>
      </c>
    </row>
    <row r="654" spans="1:2" x14ac:dyDescent="0.3">
      <c r="B654" t="s">
        <v>2</v>
      </c>
    </row>
    <row r="655" spans="1:2" x14ac:dyDescent="0.3">
      <c r="B655" t="str">
        <f>"           if (PADDR_CNT == 6'h"&amp;A650&amp;")"</f>
        <v xml:space="preserve">           if (PADDR_CNT == 6'h59)</v>
      </c>
    </row>
    <row r="656" spans="1:2" x14ac:dyDescent="0.3">
      <c r="B656" t="str">
        <f>"               sr_paddr_dat["&amp;A650&amp;"]  &lt;= sr_page_paddr_buf;"</f>
        <v xml:space="preserve">               sr_paddr_dat[59]  &lt;= sr_page_paddr_buf;</v>
      </c>
    </row>
    <row r="657" spans="1:2" x14ac:dyDescent="0.3">
      <c r="B657" t="s">
        <v>3</v>
      </c>
    </row>
    <row r="658" spans="1:2" x14ac:dyDescent="0.3">
      <c r="B658" t="str">
        <f>"               sr_paddr_dat["&amp;A650&amp;"]  &lt;= sr_paddr_dat["&amp;A650&amp;"];"</f>
        <v xml:space="preserve">               sr_paddr_dat[59]  &lt;= sr_paddr_dat[59];</v>
      </c>
    </row>
    <row r="659" spans="1:2" x14ac:dyDescent="0.3">
      <c r="B659" t="s">
        <v>4</v>
      </c>
    </row>
    <row r="660" spans="1:2" x14ac:dyDescent="0.3">
      <c r="B660" t="s">
        <v>5</v>
      </c>
    </row>
    <row r="662" spans="1:2" x14ac:dyDescent="0.3">
      <c r="A662">
        <f>A650+1</f>
        <v>60</v>
      </c>
      <c r="B662" t="str">
        <f>"    // Page Address Resister"&amp;A662</f>
        <v xml:space="preserve">    // Page Address Resister60</v>
      </c>
    </row>
    <row r="663" spans="1:2" x14ac:dyDescent="0.3">
      <c r="A663" t="str">
        <f>DEC2HEX(A662)</f>
        <v>3C</v>
      </c>
      <c r="B663" t="s">
        <v>0</v>
      </c>
    </row>
    <row r="664" spans="1:2" x14ac:dyDescent="0.3">
      <c r="B664" t="s">
        <v>1</v>
      </c>
    </row>
    <row r="665" spans="1:2" x14ac:dyDescent="0.3">
      <c r="B665" t="str">
        <f>"            sr_paddr_dat["&amp;A662&amp;"]   &lt;= 24'h0;"</f>
        <v xml:space="preserve">            sr_paddr_dat[60]   &lt;= 24'h0;</v>
      </c>
    </row>
    <row r="666" spans="1:2" x14ac:dyDescent="0.3">
      <c r="B666" t="s">
        <v>2</v>
      </c>
    </row>
    <row r="667" spans="1:2" x14ac:dyDescent="0.3">
      <c r="B667" t="str">
        <f>"           if (PADDR_CNT == 6'h"&amp;A662&amp;")"</f>
        <v xml:space="preserve">           if (PADDR_CNT == 6'h60)</v>
      </c>
    </row>
    <row r="668" spans="1:2" x14ac:dyDescent="0.3">
      <c r="B668" t="str">
        <f>"               sr_paddr_dat["&amp;A662&amp;"]  &lt;= sr_page_paddr_buf;"</f>
        <v xml:space="preserve">               sr_paddr_dat[60]  &lt;= sr_page_paddr_buf;</v>
      </c>
    </row>
    <row r="669" spans="1:2" x14ac:dyDescent="0.3">
      <c r="B669" t="s">
        <v>3</v>
      </c>
    </row>
    <row r="670" spans="1:2" x14ac:dyDescent="0.3">
      <c r="B670" t="str">
        <f>"               sr_paddr_dat["&amp;A662&amp;"]  &lt;= sr_paddr_dat["&amp;A662&amp;"];"</f>
        <v xml:space="preserve">               sr_paddr_dat[60]  &lt;= sr_paddr_dat[60];</v>
      </c>
    </row>
    <row r="671" spans="1:2" x14ac:dyDescent="0.3">
      <c r="B671" t="s">
        <v>4</v>
      </c>
    </row>
    <row r="672" spans="1:2" x14ac:dyDescent="0.3">
      <c r="B672" t="s">
        <v>5</v>
      </c>
    </row>
    <row r="674" spans="1:2" x14ac:dyDescent="0.3">
      <c r="A674">
        <f>A662+1</f>
        <v>61</v>
      </c>
      <c r="B674" t="str">
        <f>"    // Page Address Resister"&amp;A674</f>
        <v xml:space="preserve">    // Page Address Resister61</v>
      </c>
    </row>
    <row r="675" spans="1:2" x14ac:dyDescent="0.3">
      <c r="A675" t="str">
        <f>DEC2HEX(A674)</f>
        <v>3D</v>
      </c>
      <c r="B675" t="s">
        <v>0</v>
      </c>
    </row>
    <row r="676" spans="1:2" x14ac:dyDescent="0.3">
      <c r="B676" t="s">
        <v>1</v>
      </c>
    </row>
    <row r="677" spans="1:2" x14ac:dyDescent="0.3">
      <c r="B677" t="str">
        <f>"            sr_paddr_dat["&amp;A674&amp;"]   &lt;= 24'h0;"</f>
        <v xml:space="preserve">            sr_paddr_dat[61]   &lt;= 24'h0;</v>
      </c>
    </row>
    <row r="678" spans="1:2" x14ac:dyDescent="0.3">
      <c r="B678" t="s">
        <v>2</v>
      </c>
    </row>
    <row r="679" spans="1:2" x14ac:dyDescent="0.3">
      <c r="B679" t="str">
        <f>"           if (PADDR_CNT == 6'h"&amp;A674&amp;")"</f>
        <v xml:space="preserve">           if (PADDR_CNT == 6'h61)</v>
      </c>
    </row>
    <row r="680" spans="1:2" x14ac:dyDescent="0.3">
      <c r="B680" t="str">
        <f>"               sr_paddr_dat["&amp;A674&amp;"]  &lt;= sr_page_paddr_buf;"</f>
        <v xml:space="preserve">               sr_paddr_dat[61]  &lt;= sr_page_paddr_buf;</v>
      </c>
    </row>
    <row r="681" spans="1:2" x14ac:dyDescent="0.3">
      <c r="B681" t="s">
        <v>3</v>
      </c>
    </row>
    <row r="682" spans="1:2" x14ac:dyDescent="0.3">
      <c r="B682" t="str">
        <f>"               sr_paddr_dat["&amp;A674&amp;"]  &lt;= sr_paddr_dat["&amp;A674&amp;"];"</f>
        <v xml:space="preserve">               sr_paddr_dat[61]  &lt;= sr_paddr_dat[61];</v>
      </c>
    </row>
    <row r="683" spans="1:2" x14ac:dyDescent="0.3">
      <c r="B683" t="s">
        <v>4</v>
      </c>
    </row>
    <row r="684" spans="1:2" x14ac:dyDescent="0.3">
      <c r="B684" t="s">
        <v>5</v>
      </c>
    </row>
    <row r="686" spans="1:2" x14ac:dyDescent="0.3">
      <c r="A686">
        <f>A674+1</f>
        <v>62</v>
      </c>
      <c r="B686" t="str">
        <f>"    // Page Address Resister"&amp;A686</f>
        <v xml:space="preserve">    // Page Address Resister62</v>
      </c>
    </row>
    <row r="687" spans="1:2" x14ac:dyDescent="0.3">
      <c r="A687" t="str">
        <f>DEC2HEX(A686)</f>
        <v>3E</v>
      </c>
      <c r="B687" t="s">
        <v>0</v>
      </c>
    </row>
    <row r="688" spans="1:2" x14ac:dyDescent="0.3">
      <c r="B688" t="s">
        <v>1</v>
      </c>
    </row>
    <row r="689" spans="1:2" x14ac:dyDescent="0.3">
      <c r="B689" t="str">
        <f>"            sr_paddr_dat["&amp;A686&amp;"]   &lt;= 24'h0;"</f>
        <v xml:space="preserve">            sr_paddr_dat[62]   &lt;= 24'h0;</v>
      </c>
    </row>
    <row r="690" spans="1:2" x14ac:dyDescent="0.3">
      <c r="B690" t="s">
        <v>2</v>
      </c>
    </row>
    <row r="691" spans="1:2" x14ac:dyDescent="0.3">
      <c r="B691" t="str">
        <f>"           if (PADDR_CNT == 6'h"&amp;A686&amp;")"</f>
        <v xml:space="preserve">           if (PADDR_CNT == 6'h62)</v>
      </c>
    </row>
    <row r="692" spans="1:2" x14ac:dyDescent="0.3">
      <c r="B692" t="str">
        <f>"               sr_paddr_dat["&amp;A686&amp;"]  &lt;= sr_page_paddr_buf;"</f>
        <v xml:space="preserve">               sr_paddr_dat[62]  &lt;= sr_page_paddr_buf;</v>
      </c>
    </row>
    <row r="693" spans="1:2" x14ac:dyDescent="0.3">
      <c r="B693" t="s">
        <v>3</v>
      </c>
    </row>
    <row r="694" spans="1:2" x14ac:dyDescent="0.3">
      <c r="B694" t="str">
        <f>"               sr_paddr_dat["&amp;A686&amp;"]  &lt;= sr_paddr_dat["&amp;A686&amp;"];"</f>
        <v xml:space="preserve">               sr_paddr_dat[62]  &lt;= sr_paddr_dat[62];</v>
      </c>
    </row>
    <row r="695" spans="1:2" x14ac:dyDescent="0.3">
      <c r="B695" t="s">
        <v>4</v>
      </c>
    </row>
    <row r="696" spans="1:2" x14ac:dyDescent="0.3">
      <c r="B696" t="s">
        <v>5</v>
      </c>
    </row>
    <row r="698" spans="1:2" x14ac:dyDescent="0.3">
      <c r="A698">
        <f>A686+1</f>
        <v>63</v>
      </c>
      <c r="B698" t="str">
        <f>"    // Page Address Resister"&amp;A698</f>
        <v xml:space="preserve">    // Page Address Resister63</v>
      </c>
    </row>
    <row r="699" spans="1:2" x14ac:dyDescent="0.3">
      <c r="A699" t="str">
        <f>DEC2HEX(A698)</f>
        <v>3F</v>
      </c>
      <c r="B699" t="s">
        <v>0</v>
      </c>
    </row>
    <row r="700" spans="1:2" x14ac:dyDescent="0.3">
      <c r="B700" t="s">
        <v>1</v>
      </c>
    </row>
    <row r="701" spans="1:2" x14ac:dyDescent="0.3">
      <c r="B701" t="str">
        <f>"            sr_paddr_dat["&amp;A698&amp;"]   &lt;= 24'h0;"</f>
        <v xml:space="preserve">            sr_paddr_dat[63]   &lt;= 24'h0;</v>
      </c>
    </row>
    <row r="702" spans="1:2" x14ac:dyDescent="0.3">
      <c r="B702" t="s">
        <v>2</v>
      </c>
    </row>
    <row r="703" spans="1:2" x14ac:dyDescent="0.3">
      <c r="B703" t="str">
        <f>"           if (PADDR_CNT == 6'h"&amp;A698&amp;")"</f>
        <v xml:space="preserve">           if (PADDR_CNT == 6'h63)</v>
      </c>
    </row>
    <row r="704" spans="1:2" x14ac:dyDescent="0.3">
      <c r="B704" t="str">
        <f>"               sr_paddr_dat["&amp;A698&amp;"]  &lt;= sr_page_paddr_buf;"</f>
        <v xml:space="preserve">               sr_paddr_dat[63]  &lt;= sr_page_paddr_buf;</v>
      </c>
    </row>
    <row r="705" spans="1:2" x14ac:dyDescent="0.3">
      <c r="B705" t="s">
        <v>3</v>
      </c>
    </row>
    <row r="706" spans="1:2" x14ac:dyDescent="0.3">
      <c r="B706" t="str">
        <f>"               sr_paddr_dat["&amp;A698&amp;"]  &lt;= sr_paddr_dat["&amp;A698&amp;"];"</f>
        <v xml:space="preserve">               sr_paddr_dat[63]  &lt;= sr_paddr_dat[63];</v>
      </c>
    </row>
    <row r="707" spans="1:2" x14ac:dyDescent="0.3">
      <c r="B707" t="s">
        <v>4</v>
      </c>
    </row>
    <row r="708" spans="1:2" x14ac:dyDescent="0.3">
      <c r="B708" t="s">
        <v>5</v>
      </c>
    </row>
    <row r="710" spans="1:2" x14ac:dyDescent="0.3">
      <c r="A710">
        <v>8</v>
      </c>
      <c r="B710" t="str">
        <f>"    // Page Address Resister"&amp;A710</f>
        <v xml:space="preserve">    // Page Address Resister8</v>
      </c>
    </row>
    <row r="711" spans="1:2" x14ac:dyDescent="0.3">
      <c r="A711" t="str">
        <f>DEC2HEX(A710)</f>
        <v>8</v>
      </c>
      <c r="B711" t="s">
        <v>0</v>
      </c>
    </row>
    <row r="712" spans="1:2" x14ac:dyDescent="0.3">
      <c r="B712" t="s">
        <v>1</v>
      </c>
    </row>
    <row r="713" spans="1:2" x14ac:dyDescent="0.3">
      <c r="B713" t="str">
        <f>"            sr_paddr_dat["&amp;A710&amp;"]   &lt;= 24'h0;"</f>
        <v xml:space="preserve">            sr_paddr_dat[8]   &lt;= 24'h0;</v>
      </c>
    </row>
    <row r="714" spans="1:2" x14ac:dyDescent="0.3">
      <c r="B714" t="s">
        <v>2</v>
      </c>
    </row>
    <row r="715" spans="1:2" x14ac:dyDescent="0.3">
      <c r="B715" t="str">
        <f>"           if (PADDR_CNT == 6'h"&amp;A710&amp;")"</f>
        <v xml:space="preserve">           if (PADDR_CNT == 6'h8)</v>
      </c>
    </row>
    <row r="716" spans="1:2" x14ac:dyDescent="0.3">
      <c r="B716" t="str">
        <f>"               sr_paddr_dat["&amp;A710&amp;"]  &lt;= sr_page_paddr_buf;"</f>
        <v xml:space="preserve">               sr_paddr_dat[8]  &lt;= sr_page_paddr_buf;</v>
      </c>
    </row>
    <row r="717" spans="1:2" x14ac:dyDescent="0.3">
      <c r="B717" t="s">
        <v>3</v>
      </c>
    </row>
    <row r="718" spans="1:2" x14ac:dyDescent="0.3">
      <c r="B718" t="str">
        <f>"               sr_paddr_dat["&amp;A710&amp;"]  &lt;= sr_paddr_dat["&amp;A710&amp;"];"</f>
        <v xml:space="preserve">               sr_paddr_dat[8]  &lt;= sr_paddr_dat[8];</v>
      </c>
    </row>
    <row r="719" spans="1:2" x14ac:dyDescent="0.3">
      <c r="B719" t="s">
        <v>4</v>
      </c>
    </row>
    <row r="720" spans="1:2" x14ac:dyDescent="0.3">
      <c r="B720" t="s">
        <v>5</v>
      </c>
    </row>
    <row r="722" spans="1:2" x14ac:dyDescent="0.3">
      <c r="A722">
        <v>5</v>
      </c>
      <c r="B722" t="str">
        <f>"    // Page Address Resister"&amp;A722</f>
        <v xml:space="preserve">    // Page Address Resister5</v>
      </c>
    </row>
    <row r="723" spans="1:2" x14ac:dyDescent="0.3">
      <c r="A723" t="str">
        <f>DEC2HEX(A722)</f>
        <v>5</v>
      </c>
      <c r="B723" t="s">
        <v>0</v>
      </c>
    </row>
    <row r="724" spans="1:2" x14ac:dyDescent="0.3">
      <c r="B724" t="s">
        <v>1</v>
      </c>
    </row>
    <row r="725" spans="1:2" x14ac:dyDescent="0.3">
      <c r="B725" t="str">
        <f>"            sr_paddr_dat["&amp;A722&amp;"]   &lt;= 24'h0;"</f>
        <v xml:space="preserve">            sr_paddr_dat[5]   &lt;= 24'h0;</v>
      </c>
    </row>
    <row r="726" spans="1:2" x14ac:dyDescent="0.3">
      <c r="B726" t="s">
        <v>2</v>
      </c>
    </row>
    <row r="727" spans="1:2" x14ac:dyDescent="0.3">
      <c r="B727" t="str">
        <f>"           if (PADDR_CNT == 6'h"&amp;A722&amp;")"</f>
        <v xml:space="preserve">           if (PADDR_CNT == 6'h5)</v>
      </c>
    </row>
    <row r="728" spans="1:2" x14ac:dyDescent="0.3">
      <c r="B728" t="str">
        <f>"               sr_paddr_dat["&amp;A722&amp;"]  &lt;= sr_page_paddr_buf;"</f>
        <v xml:space="preserve">               sr_paddr_dat[5]  &lt;= sr_page_paddr_buf;</v>
      </c>
    </row>
    <row r="729" spans="1:2" x14ac:dyDescent="0.3">
      <c r="B729" t="s">
        <v>3</v>
      </c>
    </row>
    <row r="730" spans="1:2" x14ac:dyDescent="0.3">
      <c r="B730" t="str">
        <f>"               sr_paddr_dat["&amp;A722&amp;"]  &lt;= sr_paddr_dat["&amp;A722&amp;"];"</f>
        <v xml:space="preserve">               sr_paddr_dat[5]  &lt;= sr_paddr_dat[5];</v>
      </c>
    </row>
    <row r="731" spans="1:2" x14ac:dyDescent="0.3">
      <c r="B731" t="s">
        <v>4</v>
      </c>
    </row>
    <row r="732" spans="1:2" x14ac:dyDescent="0.3">
      <c r="B732" t="s">
        <v>5</v>
      </c>
    </row>
    <row r="734" spans="1:2" x14ac:dyDescent="0.3">
      <c r="A734">
        <v>6</v>
      </c>
      <c r="B734" t="str">
        <f>"    // Page Address Resister"&amp;A734</f>
        <v xml:space="preserve">    // Page Address Resister6</v>
      </c>
    </row>
    <row r="735" spans="1:2" x14ac:dyDescent="0.3">
      <c r="A735" t="str">
        <f>DEC2HEX(A734)</f>
        <v>6</v>
      </c>
      <c r="B735" t="s">
        <v>0</v>
      </c>
    </row>
    <row r="736" spans="1:2" x14ac:dyDescent="0.3">
      <c r="B736" t="s">
        <v>1</v>
      </c>
    </row>
    <row r="737" spans="1:2" x14ac:dyDescent="0.3">
      <c r="B737" t="str">
        <f>"            sr_paddr_dat["&amp;A734&amp;"]   &lt;= 24'h0;"</f>
        <v xml:space="preserve">            sr_paddr_dat[6]   &lt;= 24'h0;</v>
      </c>
    </row>
    <row r="738" spans="1:2" x14ac:dyDescent="0.3">
      <c r="B738" t="s">
        <v>2</v>
      </c>
    </row>
    <row r="739" spans="1:2" x14ac:dyDescent="0.3">
      <c r="B739" t="str">
        <f>"           if (PADDR_CNT == 6'h"&amp;A734&amp;")"</f>
        <v xml:space="preserve">           if (PADDR_CNT == 6'h6)</v>
      </c>
    </row>
    <row r="740" spans="1:2" x14ac:dyDescent="0.3">
      <c r="B740" t="str">
        <f>"               sr_paddr_dat["&amp;A734&amp;"]  &lt;= sr_page_paddr_buf;"</f>
        <v xml:space="preserve">               sr_paddr_dat[6]  &lt;= sr_page_paddr_buf;</v>
      </c>
    </row>
    <row r="741" spans="1:2" x14ac:dyDescent="0.3">
      <c r="B741" t="s">
        <v>3</v>
      </c>
    </row>
    <row r="742" spans="1:2" x14ac:dyDescent="0.3">
      <c r="B742" t="str">
        <f>"               sr_paddr_dat["&amp;A734&amp;"]  &lt;= sr_paddr_dat["&amp;A734&amp;"];"</f>
        <v xml:space="preserve">               sr_paddr_dat[6]  &lt;= sr_paddr_dat[6];</v>
      </c>
    </row>
    <row r="743" spans="1:2" x14ac:dyDescent="0.3">
      <c r="B743" t="s">
        <v>4</v>
      </c>
    </row>
    <row r="744" spans="1:2" x14ac:dyDescent="0.3">
      <c r="B744" t="s">
        <v>5</v>
      </c>
    </row>
    <row r="746" spans="1:2" x14ac:dyDescent="0.3">
      <c r="A746">
        <v>7</v>
      </c>
      <c r="B746" t="str">
        <f>"    // Page Address Resister"&amp;A746</f>
        <v xml:space="preserve">    // Page Address Resister7</v>
      </c>
    </row>
    <row r="747" spans="1:2" x14ac:dyDescent="0.3">
      <c r="A747" t="str">
        <f>DEC2HEX(A746)</f>
        <v>7</v>
      </c>
      <c r="B747" t="s">
        <v>0</v>
      </c>
    </row>
    <row r="748" spans="1:2" x14ac:dyDescent="0.3">
      <c r="B748" t="s">
        <v>1</v>
      </c>
    </row>
    <row r="749" spans="1:2" x14ac:dyDescent="0.3">
      <c r="B749" t="str">
        <f>"            sr_paddr_dat["&amp;A746&amp;"]   &lt;= 24'h0;"</f>
        <v xml:space="preserve">            sr_paddr_dat[7]   &lt;= 24'h0;</v>
      </c>
    </row>
    <row r="750" spans="1:2" x14ac:dyDescent="0.3">
      <c r="B750" t="s">
        <v>2</v>
      </c>
    </row>
    <row r="751" spans="1:2" x14ac:dyDescent="0.3">
      <c r="B751" t="str">
        <f>"           if (PADDR_CNT == 6'h"&amp;A746&amp;")"</f>
        <v xml:space="preserve">           if (PADDR_CNT == 6'h7)</v>
      </c>
    </row>
    <row r="752" spans="1:2" x14ac:dyDescent="0.3">
      <c r="B752" t="str">
        <f>"               sr_paddr_dat["&amp;A746&amp;"]  &lt;= sr_page_paddr_buf;"</f>
        <v xml:space="preserve">               sr_paddr_dat[7]  &lt;= sr_page_paddr_buf;</v>
      </c>
    </row>
    <row r="753" spans="1:2" x14ac:dyDescent="0.3">
      <c r="B753" t="s">
        <v>3</v>
      </c>
    </row>
    <row r="754" spans="1:2" x14ac:dyDescent="0.3">
      <c r="B754" t="str">
        <f>"               sr_paddr_dat["&amp;A746&amp;"]  &lt;= sr_paddr_dat["&amp;A746&amp;"];"</f>
        <v xml:space="preserve">               sr_paddr_dat[7]  &lt;= sr_paddr_dat[7];</v>
      </c>
    </row>
    <row r="755" spans="1:2" x14ac:dyDescent="0.3">
      <c r="B755" t="s">
        <v>4</v>
      </c>
    </row>
    <row r="756" spans="1:2" x14ac:dyDescent="0.3">
      <c r="B756" t="s">
        <v>5</v>
      </c>
    </row>
    <row r="758" spans="1:2" x14ac:dyDescent="0.3">
      <c r="A758">
        <v>8</v>
      </c>
      <c r="B758" t="str">
        <f>"    // Page Address Resister"&amp;A758</f>
        <v xml:space="preserve">    // Page Address Resister8</v>
      </c>
    </row>
    <row r="759" spans="1:2" x14ac:dyDescent="0.3">
      <c r="A759" t="str">
        <f>DEC2HEX(A758)</f>
        <v>8</v>
      </c>
      <c r="B759" t="s">
        <v>0</v>
      </c>
    </row>
    <row r="760" spans="1:2" x14ac:dyDescent="0.3">
      <c r="B760" t="s">
        <v>1</v>
      </c>
    </row>
    <row r="761" spans="1:2" x14ac:dyDescent="0.3">
      <c r="B761" t="str">
        <f>"            sr_paddr_dat["&amp;A758&amp;"]   &lt;= 24'h0;"</f>
        <v xml:space="preserve">            sr_paddr_dat[8]   &lt;= 24'h0;</v>
      </c>
    </row>
    <row r="762" spans="1:2" x14ac:dyDescent="0.3">
      <c r="B762" t="s">
        <v>2</v>
      </c>
    </row>
    <row r="763" spans="1:2" x14ac:dyDescent="0.3">
      <c r="B763" t="str">
        <f>"           if (PADDR_CNT == 6'h"&amp;A758&amp;")"</f>
        <v xml:space="preserve">           if (PADDR_CNT == 6'h8)</v>
      </c>
    </row>
    <row r="764" spans="1:2" x14ac:dyDescent="0.3">
      <c r="B764" t="str">
        <f>"               sr_paddr_dat["&amp;A758&amp;"]  &lt;= sr_page_paddr_buf;"</f>
        <v xml:space="preserve">               sr_paddr_dat[8]  &lt;= sr_page_paddr_buf;</v>
      </c>
    </row>
    <row r="765" spans="1:2" x14ac:dyDescent="0.3">
      <c r="B765" t="s">
        <v>3</v>
      </c>
    </row>
    <row r="766" spans="1:2" x14ac:dyDescent="0.3">
      <c r="B766" t="str">
        <f>"               sr_paddr_dat["&amp;A758&amp;"]  &lt;= sr_paddr_dat["&amp;A758&amp;"];"</f>
        <v xml:space="preserve">               sr_paddr_dat[8]  &lt;= sr_paddr_dat[8];</v>
      </c>
    </row>
    <row r="767" spans="1:2" x14ac:dyDescent="0.3">
      <c r="B767" t="s">
        <v>4</v>
      </c>
    </row>
    <row r="768" spans="1:2" x14ac:dyDescent="0.3">
      <c r="B768" t="s">
        <v>5</v>
      </c>
    </row>
    <row r="770" spans="1:2" x14ac:dyDescent="0.3">
      <c r="A770">
        <v>5</v>
      </c>
      <c r="B770" t="str">
        <f>"    // Page Address Resister"&amp;A770</f>
        <v xml:space="preserve">    // Page Address Resister5</v>
      </c>
    </row>
    <row r="771" spans="1:2" x14ac:dyDescent="0.3">
      <c r="A771" t="str">
        <f>DEC2HEX(A770)</f>
        <v>5</v>
      </c>
      <c r="B771" t="s">
        <v>0</v>
      </c>
    </row>
    <row r="772" spans="1:2" x14ac:dyDescent="0.3">
      <c r="B772" t="s">
        <v>1</v>
      </c>
    </row>
    <row r="773" spans="1:2" x14ac:dyDescent="0.3">
      <c r="B773" t="str">
        <f>"            sr_paddr_dat["&amp;A770&amp;"]   &lt;= 24'h0;"</f>
        <v xml:space="preserve">            sr_paddr_dat[5]   &lt;= 24'h0;</v>
      </c>
    </row>
    <row r="774" spans="1:2" x14ac:dyDescent="0.3">
      <c r="B774" t="s">
        <v>2</v>
      </c>
    </row>
    <row r="775" spans="1:2" x14ac:dyDescent="0.3">
      <c r="B775" t="str">
        <f>"           if (PADDR_CNT == 6'h"&amp;A770&amp;")"</f>
        <v xml:space="preserve">           if (PADDR_CNT == 6'h5)</v>
      </c>
    </row>
    <row r="776" spans="1:2" x14ac:dyDescent="0.3">
      <c r="B776" t="str">
        <f>"               sr_paddr_dat["&amp;A770&amp;"]  &lt;= sr_page_paddr_buf;"</f>
        <v xml:space="preserve">               sr_paddr_dat[5]  &lt;= sr_page_paddr_buf;</v>
      </c>
    </row>
    <row r="777" spans="1:2" x14ac:dyDescent="0.3">
      <c r="B777" t="s">
        <v>3</v>
      </c>
    </row>
    <row r="778" spans="1:2" x14ac:dyDescent="0.3">
      <c r="B778" t="str">
        <f>"               sr_paddr_dat["&amp;A770&amp;"]  &lt;= sr_paddr_dat["&amp;A770&amp;"];"</f>
        <v xml:space="preserve">               sr_paddr_dat[5]  &lt;= sr_paddr_dat[5];</v>
      </c>
    </row>
    <row r="779" spans="1:2" x14ac:dyDescent="0.3">
      <c r="B779" t="s">
        <v>4</v>
      </c>
    </row>
    <row r="780" spans="1:2" x14ac:dyDescent="0.3">
      <c r="B780" t="s">
        <v>5</v>
      </c>
    </row>
    <row r="782" spans="1:2" x14ac:dyDescent="0.3">
      <c r="A782">
        <v>6</v>
      </c>
      <c r="B782" t="str">
        <f>"    // Page Address Resister"&amp;A782</f>
        <v xml:space="preserve">    // Page Address Resister6</v>
      </c>
    </row>
    <row r="783" spans="1:2" x14ac:dyDescent="0.3">
      <c r="A783" t="str">
        <f>DEC2HEX(A782)</f>
        <v>6</v>
      </c>
      <c r="B783" t="s">
        <v>0</v>
      </c>
    </row>
    <row r="784" spans="1:2" x14ac:dyDescent="0.3">
      <c r="B784" t="s">
        <v>1</v>
      </c>
    </row>
    <row r="785" spans="1:2" x14ac:dyDescent="0.3">
      <c r="B785" t="str">
        <f>"            sr_paddr_dat["&amp;A782&amp;"]   &lt;= 24'h0;"</f>
        <v xml:space="preserve">            sr_paddr_dat[6]   &lt;= 24'h0;</v>
      </c>
    </row>
    <row r="786" spans="1:2" x14ac:dyDescent="0.3">
      <c r="B786" t="s">
        <v>2</v>
      </c>
    </row>
    <row r="787" spans="1:2" x14ac:dyDescent="0.3">
      <c r="B787" t="str">
        <f>"           if (PADDR_CNT == 6'h"&amp;A782&amp;")"</f>
        <v xml:space="preserve">           if (PADDR_CNT == 6'h6)</v>
      </c>
    </row>
    <row r="788" spans="1:2" x14ac:dyDescent="0.3">
      <c r="B788" t="str">
        <f>"               sr_paddr_dat["&amp;A782&amp;"]  &lt;= sr_page_paddr_buf;"</f>
        <v xml:space="preserve">               sr_paddr_dat[6]  &lt;= sr_page_paddr_buf;</v>
      </c>
    </row>
    <row r="789" spans="1:2" x14ac:dyDescent="0.3">
      <c r="B789" t="s">
        <v>3</v>
      </c>
    </row>
    <row r="790" spans="1:2" x14ac:dyDescent="0.3">
      <c r="B790" t="str">
        <f>"               sr_paddr_dat["&amp;A782&amp;"]  &lt;= sr_paddr_dat["&amp;A782&amp;"];"</f>
        <v xml:space="preserve">               sr_paddr_dat[6]  &lt;= sr_paddr_dat[6];</v>
      </c>
    </row>
    <row r="791" spans="1:2" x14ac:dyDescent="0.3">
      <c r="B791" t="s">
        <v>4</v>
      </c>
    </row>
    <row r="792" spans="1:2" x14ac:dyDescent="0.3">
      <c r="B792" t="s">
        <v>5</v>
      </c>
    </row>
    <row r="794" spans="1:2" x14ac:dyDescent="0.3">
      <c r="A794">
        <v>7</v>
      </c>
      <c r="B794" t="str">
        <f>"    // Page Address Resister"&amp;A794</f>
        <v xml:space="preserve">    // Page Address Resister7</v>
      </c>
    </row>
    <row r="795" spans="1:2" x14ac:dyDescent="0.3">
      <c r="A795" t="str">
        <f>DEC2HEX(A794)</f>
        <v>7</v>
      </c>
      <c r="B795" t="s">
        <v>0</v>
      </c>
    </row>
    <row r="796" spans="1:2" x14ac:dyDescent="0.3">
      <c r="B796" t="s">
        <v>1</v>
      </c>
    </row>
    <row r="797" spans="1:2" x14ac:dyDescent="0.3">
      <c r="B797" t="str">
        <f>"            sr_paddr_dat["&amp;A794&amp;"]   &lt;= 24'h0;"</f>
        <v xml:space="preserve">            sr_paddr_dat[7]   &lt;= 24'h0;</v>
      </c>
    </row>
    <row r="798" spans="1:2" x14ac:dyDescent="0.3">
      <c r="B798" t="s">
        <v>2</v>
      </c>
    </row>
    <row r="799" spans="1:2" x14ac:dyDescent="0.3">
      <c r="B799" t="str">
        <f>"           if (PADDR_CNT == 6'h"&amp;A794&amp;")"</f>
        <v xml:space="preserve">           if (PADDR_CNT == 6'h7)</v>
      </c>
    </row>
    <row r="800" spans="1:2" x14ac:dyDescent="0.3">
      <c r="B800" t="str">
        <f>"               sr_paddr_dat["&amp;A794&amp;"]  &lt;= sr_page_paddr_buf;"</f>
        <v xml:space="preserve">               sr_paddr_dat[7]  &lt;= sr_page_paddr_buf;</v>
      </c>
    </row>
    <row r="801" spans="1:2" x14ac:dyDescent="0.3">
      <c r="B801" t="s">
        <v>3</v>
      </c>
    </row>
    <row r="802" spans="1:2" x14ac:dyDescent="0.3">
      <c r="B802" t="str">
        <f>"               sr_paddr_dat["&amp;A794&amp;"]  &lt;= sr_paddr_dat["&amp;A794&amp;"];"</f>
        <v xml:space="preserve">               sr_paddr_dat[7]  &lt;= sr_paddr_dat[7];</v>
      </c>
    </row>
    <row r="803" spans="1:2" x14ac:dyDescent="0.3">
      <c r="B803" t="s">
        <v>4</v>
      </c>
    </row>
    <row r="804" spans="1:2" x14ac:dyDescent="0.3">
      <c r="B804" t="s">
        <v>5</v>
      </c>
    </row>
    <row r="806" spans="1:2" x14ac:dyDescent="0.3">
      <c r="A806">
        <v>8</v>
      </c>
      <c r="B806" t="str">
        <f>"    // Page Address Resister"&amp;A806</f>
        <v xml:space="preserve">    // Page Address Resister8</v>
      </c>
    </row>
    <row r="807" spans="1:2" x14ac:dyDescent="0.3">
      <c r="A807" t="str">
        <f>DEC2HEX(A806)</f>
        <v>8</v>
      </c>
      <c r="B807" t="s">
        <v>0</v>
      </c>
    </row>
    <row r="808" spans="1:2" x14ac:dyDescent="0.3">
      <c r="B808" t="s">
        <v>1</v>
      </c>
    </row>
    <row r="809" spans="1:2" x14ac:dyDescent="0.3">
      <c r="B809" t="str">
        <f>"            sr_paddr_dat["&amp;A806&amp;"]   &lt;= 24'h0;"</f>
        <v xml:space="preserve">            sr_paddr_dat[8]   &lt;= 24'h0;</v>
      </c>
    </row>
    <row r="810" spans="1:2" x14ac:dyDescent="0.3">
      <c r="B810" t="s">
        <v>2</v>
      </c>
    </row>
    <row r="811" spans="1:2" x14ac:dyDescent="0.3">
      <c r="B811" t="str">
        <f>"           if (PADDR_CNT == 6'h"&amp;A806&amp;")"</f>
        <v xml:space="preserve">           if (PADDR_CNT == 6'h8)</v>
      </c>
    </row>
    <row r="812" spans="1:2" x14ac:dyDescent="0.3">
      <c r="B812" t="str">
        <f>"               sr_paddr_dat["&amp;A806&amp;"]  &lt;= sr_page_paddr_buf;"</f>
        <v xml:space="preserve">               sr_paddr_dat[8]  &lt;= sr_page_paddr_buf;</v>
      </c>
    </row>
    <row r="813" spans="1:2" x14ac:dyDescent="0.3">
      <c r="B813" t="s">
        <v>3</v>
      </c>
    </row>
    <row r="814" spans="1:2" x14ac:dyDescent="0.3">
      <c r="B814" t="str">
        <f>"               sr_paddr_dat["&amp;A806&amp;"]  &lt;= sr_paddr_dat["&amp;A806&amp;"];"</f>
        <v xml:space="preserve">               sr_paddr_dat[8]  &lt;= sr_paddr_dat[8];</v>
      </c>
    </row>
    <row r="815" spans="1:2" x14ac:dyDescent="0.3">
      <c r="B815" t="s">
        <v>4</v>
      </c>
    </row>
    <row r="816" spans="1:2" x14ac:dyDescent="0.3">
      <c r="B816" t="s">
        <v>5</v>
      </c>
    </row>
    <row r="818" spans="1:2" x14ac:dyDescent="0.3">
      <c r="A818">
        <v>5</v>
      </c>
      <c r="B818" t="str">
        <f>"    // Page Address Resister"&amp;A818</f>
        <v xml:space="preserve">    // Page Address Resister5</v>
      </c>
    </row>
    <row r="819" spans="1:2" x14ac:dyDescent="0.3">
      <c r="A819" t="str">
        <f>DEC2HEX(A818)</f>
        <v>5</v>
      </c>
      <c r="B819" t="s">
        <v>0</v>
      </c>
    </row>
    <row r="820" spans="1:2" x14ac:dyDescent="0.3">
      <c r="B820" t="s">
        <v>1</v>
      </c>
    </row>
    <row r="821" spans="1:2" x14ac:dyDescent="0.3">
      <c r="B821" t="str">
        <f>"            sr_paddr_dat["&amp;A818&amp;"]   &lt;= 24'h0;"</f>
        <v xml:space="preserve">            sr_paddr_dat[5]   &lt;= 24'h0;</v>
      </c>
    </row>
    <row r="822" spans="1:2" x14ac:dyDescent="0.3">
      <c r="B822" t="s">
        <v>2</v>
      </c>
    </row>
    <row r="823" spans="1:2" x14ac:dyDescent="0.3">
      <c r="B823" t="str">
        <f>"           if (PADDR_CNT == 6'h"&amp;A818&amp;")"</f>
        <v xml:space="preserve">           if (PADDR_CNT == 6'h5)</v>
      </c>
    </row>
    <row r="824" spans="1:2" x14ac:dyDescent="0.3">
      <c r="B824" t="str">
        <f>"               sr_paddr_dat["&amp;A818&amp;"]  &lt;= sr_page_paddr_buf;"</f>
        <v xml:space="preserve">               sr_paddr_dat[5]  &lt;= sr_page_paddr_buf;</v>
      </c>
    </row>
    <row r="825" spans="1:2" x14ac:dyDescent="0.3">
      <c r="B825" t="s">
        <v>3</v>
      </c>
    </row>
    <row r="826" spans="1:2" x14ac:dyDescent="0.3">
      <c r="B826" t="str">
        <f>"               sr_paddr_dat["&amp;A818&amp;"]  &lt;= sr_paddr_dat["&amp;A818&amp;"];"</f>
        <v xml:space="preserve">               sr_paddr_dat[5]  &lt;= sr_paddr_dat[5];</v>
      </c>
    </row>
    <row r="827" spans="1:2" x14ac:dyDescent="0.3">
      <c r="B827" t="s">
        <v>4</v>
      </c>
    </row>
    <row r="828" spans="1:2" x14ac:dyDescent="0.3">
      <c r="B828" t="s">
        <v>5</v>
      </c>
    </row>
    <row r="830" spans="1:2" x14ac:dyDescent="0.3">
      <c r="A830">
        <v>6</v>
      </c>
      <c r="B830" t="str">
        <f>"    // Page Address Resister"&amp;A830</f>
        <v xml:space="preserve">    // Page Address Resister6</v>
      </c>
    </row>
    <row r="831" spans="1:2" x14ac:dyDescent="0.3">
      <c r="A831" t="str">
        <f>DEC2HEX(A830)</f>
        <v>6</v>
      </c>
      <c r="B831" t="s">
        <v>0</v>
      </c>
    </row>
    <row r="832" spans="1:2" x14ac:dyDescent="0.3">
      <c r="B832" t="s">
        <v>1</v>
      </c>
    </row>
    <row r="833" spans="1:2" x14ac:dyDescent="0.3">
      <c r="B833" t="str">
        <f>"            sr_paddr_dat["&amp;A830&amp;"]   &lt;= 24'h0;"</f>
        <v xml:space="preserve">            sr_paddr_dat[6]   &lt;= 24'h0;</v>
      </c>
    </row>
    <row r="834" spans="1:2" x14ac:dyDescent="0.3">
      <c r="B834" t="s">
        <v>2</v>
      </c>
    </row>
    <row r="835" spans="1:2" x14ac:dyDescent="0.3">
      <c r="B835" t="str">
        <f>"           if (PADDR_CNT == 6'h"&amp;A830&amp;")"</f>
        <v xml:space="preserve">           if (PADDR_CNT == 6'h6)</v>
      </c>
    </row>
    <row r="836" spans="1:2" x14ac:dyDescent="0.3">
      <c r="B836" t="str">
        <f>"               sr_paddr_dat["&amp;A830&amp;"]  &lt;= sr_page_paddr_buf;"</f>
        <v xml:space="preserve">               sr_paddr_dat[6]  &lt;= sr_page_paddr_buf;</v>
      </c>
    </row>
    <row r="837" spans="1:2" x14ac:dyDescent="0.3">
      <c r="B837" t="s">
        <v>3</v>
      </c>
    </row>
    <row r="838" spans="1:2" x14ac:dyDescent="0.3">
      <c r="B838" t="str">
        <f>"               sr_paddr_dat["&amp;A830&amp;"]  &lt;= sr_paddr_dat["&amp;A830&amp;"];"</f>
        <v xml:space="preserve">               sr_paddr_dat[6]  &lt;= sr_paddr_dat[6];</v>
      </c>
    </row>
    <row r="839" spans="1:2" x14ac:dyDescent="0.3">
      <c r="B839" t="s">
        <v>4</v>
      </c>
    </row>
    <row r="840" spans="1:2" x14ac:dyDescent="0.3">
      <c r="B840" t="s">
        <v>5</v>
      </c>
    </row>
    <row r="842" spans="1:2" x14ac:dyDescent="0.3">
      <c r="A842">
        <v>7</v>
      </c>
      <c r="B842" t="str">
        <f>"    // Page Address Resister"&amp;A842</f>
        <v xml:space="preserve">    // Page Address Resister7</v>
      </c>
    </row>
    <row r="843" spans="1:2" x14ac:dyDescent="0.3">
      <c r="A843" t="str">
        <f>DEC2HEX(A842)</f>
        <v>7</v>
      </c>
      <c r="B843" t="s">
        <v>0</v>
      </c>
    </row>
    <row r="844" spans="1:2" x14ac:dyDescent="0.3">
      <c r="B844" t="s">
        <v>1</v>
      </c>
    </row>
    <row r="845" spans="1:2" x14ac:dyDescent="0.3">
      <c r="B845" t="str">
        <f>"            sr_paddr_dat["&amp;A842&amp;"]   &lt;= 24'h0;"</f>
        <v xml:space="preserve">            sr_paddr_dat[7]   &lt;= 24'h0;</v>
      </c>
    </row>
    <row r="846" spans="1:2" x14ac:dyDescent="0.3">
      <c r="B846" t="s">
        <v>2</v>
      </c>
    </row>
    <row r="847" spans="1:2" x14ac:dyDescent="0.3">
      <c r="B847" t="str">
        <f>"           if (PADDR_CNT == 6'h"&amp;A842&amp;")"</f>
        <v xml:space="preserve">           if (PADDR_CNT == 6'h7)</v>
      </c>
    </row>
    <row r="848" spans="1:2" x14ac:dyDescent="0.3">
      <c r="B848" t="str">
        <f>"               sr_paddr_dat["&amp;A842&amp;"]  &lt;= sr_page_paddr_buf;"</f>
        <v xml:space="preserve">               sr_paddr_dat[7]  &lt;= sr_page_paddr_buf;</v>
      </c>
    </row>
    <row r="849" spans="1:2" x14ac:dyDescent="0.3">
      <c r="B849" t="s">
        <v>3</v>
      </c>
    </row>
    <row r="850" spans="1:2" x14ac:dyDescent="0.3">
      <c r="B850" t="str">
        <f>"               sr_paddr_dat["&amp;A842&amp;"]  &lt;= sr_paddr_dat["&amp;A842&amp;"];"</f>
        <v xml:space="preserve">               sr_paddr_dat[7]  &lt;= sr_paddr_dat[7];</v>
      </c>
    </row>
    <row r="851" spans="1:2" x14ac:dyDescent="0.3">
      <c r="B851" t="s">
        <v>4</v>
      </c>
    </row>
    <row r="852" spans="1:2" x14ac:dyDescent="0.3">
      <c r="B852" t="s">
        <v>5</v>
      </c>
    </row>
    <row r="854" spans="1:2" x14ac:dyDescent="0.3">
      <c r="A854">
        <v>8</v>
      </c>
      <c r="B854" t="str">
        <f>"    // Page Address Resister"&amp;A854</f>
        <v xml:space="preserve">    // Page Address Resister8</v>
      </c>
    </row>
    <row r="855" spans="1:2" x14ac:dyDescent="0.3">
      <c r="A855" t="str">
        <f>DEC2HEX(A854)</f>
        <v>8</v>
      </c>
      <c r="B855" t="s">
        <v>0</v>
      </c>
    </row>
    <row r="856" spans="1:2" x14ac:dyDescent="0.3">
      <c r="B856" t="s">
        <v>1</v>
      </c>
    </row>
    <row r="857" spans="1:2" x14ac:dyDescent="0.3">
      <c r="B857" t="str">
        <f>"            sr_paddr_dat["&amp;A854&amp;"]   &lt;= 24'h0;"</f>
        <v xml:space="preserve">            sr_paddr_dat[8]   &lt;= 24'h0;</v>
      </c>
    </row>
    <row r="858" spans="1:2" x14ac:dyDescent="0.3">
      <c r="B858" t="s">
        <v>2</v>
      </c>
    </row>
    <row r="859" spans="1:2" x14ac:dyDescent="0.3">
      <c r="B859" t="str">
        <f>"           if (PADDR_CNT == 6'h"&amp;A854&amp;")"</f>
        <v xml:space="preserve">           if (PADDR_CNT == 6'h8)</v>
      </c>
    </row>
    <row r="860" spans="1:2" x14ac:dyDescent="0.3">
      <c r="B860" t="str">
        <f>"               sr_paddr_dat["&amp;A854&amp;"]  &lt;= sr_page_paddr_buf;"</f>
        <v xml:space="preserve">               sr_paddr_dat[8]  &lt;= sr_page_paddr_buf;</v>
      </c>
    </row>
    <row r="861" spans="1:2" x14ac:dyDescent="0.3">
      <c r="B861" t="s">
        <v>3</v>
      </c>
    </row>
    <row r="862" spans="1:2" x14ac:dyDescent="0.3">
      <c r="B862" t="str">
        <f>"               sr_paddr_dat["&amp;A854&amp;"]  &lt;= sr_paddr_dat["&amp;A854&amp;"];"</f>
        <v xml:space="preserve">               sr_paddr_dat[8]  &lt;= sr_paddr_dat[8];</v>
      </c>
    </row>
    <row r="863" spans="1:2" x14ac:dyDescent="0.3">
      <c r="B863" t="s">
        <v>4</v>
      </c>
    </row>
    <row r="864" spans="1:2" x14ac:dyDescent="0.3">
      <c r="B864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suyama84</dc:creator>
  <cp:lastModifiedBy>suyama84</cp:lastModifiedBy>
  <dcterms:created xsi:type="dcterms:W3CDTF">2024-08-31T16:39:46Z</dcterms:created>
  <dcterms:modified xsi:type="dcterms:W3CDTF">2024-08-31T16:51:09Z</dcterms:modified>
</cp:coreProperties>
</file>