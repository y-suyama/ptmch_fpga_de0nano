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uyama84\Documents\fpga\de0_nano_ptmch\"/>
    </mc:Choice>
  </mc:AlternateContent>
  <bookViews>
    <workbookView xWindow="0" yWindow="0" windowWidth="22992" windowHeight="10080" activeTab="3"/>
  </bookViews>
  <sheets>
    <sheet name="Sheet1" sheetId="1" r:id="rId1"/>
    <sheet name="Sheet2" sheetId="2" r:id="rId2"/>
    <sheet name="Sheet3" sheetId="3" r:id="rId3"/>
    <sheet name="Sheet4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4" l="1"/>
  <c r="B192" i="2"/>
  <c r="D192" i="2" s="1"/>
  <c r="C192" i="2"/>
  <c r="B193" i="2"/>
  <c r="D193" i="2" s="1"/>
  <c r="C193" i="2"/>
  <c r="C194" i="2"/>
  <c r="B194" i="2" s="1"/>
  <c r="D194" i="2" s="1"/>
  <c r="C195" i="2"/>
  <c r="B195" i="2" s="1"/>
  <c r="D195" i="2" s="1"/>
  <c r="B196" i="2"/>
  <c r="D196" i="2" s="1"/>
  <c r="C196" i="2"/>
  <c r="B176" i="2"/>
  <c r="D176" i="2" s="1"/>
  <c r="C176" i="2"/>
  <c r="B177" i="2"/>
  <c r="D177" i="2" s="1"/>
  <c r="C177" i="2"/>
  <c r="C178" i="2"/>
  <c r="B178" i="2" s="1"/>
  <c r="D178" i="2" s="1"/>
  <c r="C179" i="2"/>
  <c r="B179" i="2" s="1"/>
  <c r="D179" i="2" s="1"/>
  <c r="B180" i="2"/>
  <c r="D180" i="2" s="1"/>
  <c r="C180" i="2"/>
  <c r="B181" i="2"/>
  <c r="D181" i="2" s="1"/>
  <c r="C181" i="2"/>
  <c r="C182" i="2"/>
  <c r="B182" i="2" s="1"/>
  <c r="D182" i="2" s="1"/>
  <c r="C183" i="2"/>
  <c r="B183" i="2" s="1"/>
  <c r="D183" i="2" s="1"/>
  <c r="B184" i="2"/>
  <c r="D184" i="2" s="1"/>
  <c r="C184" i="2"/>
  <c r="B185" i="2"/>
  <c r="D185" i="2" s="1"/>
  <c r="C185" i="2"/>
  <c r="C186" i="2"/>
  <c r="B186" i="2" s="1"/>
  <c r="D186" i="2" s="1"/>
  <c r="C187" i="2"/>
  <c r="B187" i="2" s="1"/>
  <c r="D187" i="2" s="1"/>
  <c r="B188" i="2"/>
  <c r="D188" i="2" s="1"/>
  <c r="C188" i="2"/>
  <c r="B189" i="2"/>
  <c r="D189" i="2" s="1"/>
  <c r="C189" i="2"/>
  <c r="C190" i="2"/>
  <c r="B190" i="2" s="1"/>
  <c r="D190" i="2" s="1"/>
  <c r="C191" i="2"/>
  <c r="B191" i="2" s="1"/>
  <c r="D191" i="2" s="1"/>
  <c r="B169" i="2"/>
  <c r="D169" i="2" s="1"/>
  <c r="C169" i="2"/>
  <c r="B170" i="2"/>
  <c r="D170" i="2" s="1"/>
  <c r="C170" i="2"/>
  <c r="C171" i="2"/>
  <c r="B171" i="2" s="1"/>
  <c r="D171" i="2" s="1"/>
  <c r="C172" i="2"/>
  <c r="B172" i="2" s="1"/>
  <c r="D172" i="2" s="1"/>
  <c r="B173" i="2"/>
  <c r="D173" i="2" s="1"/>
  <c r="C173" i="2"/>
  <c r="B174" i="2"/>
  <c r="D174" i="2" s="1"/>
  <c r="C174" i="2"/>
  <c r="C175" i="2"/>
  <c r="B175" i="2" s="1"/>
  <c r="D175" i="2" s="1"/>
  <c r="C157" i="2"/>
  <c r="B157" i="2" s="1"/>
  <c r="D157" i="2" s="1"/>
  <c r="B158" i="2"/>
  <c r="D158" i="2" s="1"/>
  <c r="C158" i="2"/>
  <c r="C159" i="2"/>
  <c r="B159" i="2" s="1"/>
  <c r="D159" i="2" s="1"/>
  <c r="C160" i="2"/>
  <c r="B160" i="2" s="1"/>
  <c r="D160" i="2" s="1"/>
  <c r="C161" i="2"/>
  <c r="B161" i="2" s="1"/>
  <c r="D161" i="2" s="1"/>
  <c r="B162" i="2"/>
  <c r="D162" i="2" s="1"/>
  <c r="C162" i="2"/>
  <c r="C163" i="2"/>
  <c r="B163" i="2" s="1"/>
  <c r="D163" i="2" s="1"/>
  <c r="C164" i="2"/>
  <c r="B164" i="2" s="1"/>
  <c r="D164" i="2" s="1"/>
  <c r="C165" i="2"/>
  <c r="B165" i="2" s="1"/>
  <c r="D165" i="2" s="1"/>
  <c r="B166" i="2"/>
  <c r="D166" i="2" s="1"/>
  <c r="C166" i="2"/>
  <c r="C167" i="2"/>
  <c r="B167" i="2" s="1"/>
  <c r="D167" i="2" s="1"/>
  <c r="C168" i="2"/>
  <c r="B168" i="2" s="1"/>
  <c r="D168" i="2" s="1"/>
  <c r="C140" i="2"/>
  <c r="B140" i="2" s="1"/>
  <c r="D140" i="2" s="1"/>
  <c r="B141" i="2"/>
  <c r="D141" i="2" s="1"/>
  <c r="C141" i="2"/>
  <c r="C142" i="2"/>
  <c r="B142" i="2" s="1"/>
  <c r="D142" i="2" s="1"/>
  <c r="C143" i="2"/>
  <c r="B143" i="2" s="1"/>
  <c r="D143" i="2" s="1"/>
  <c r="C144" i="2"/>
  <c r="B144" i="2" s="1"/>
  <c r="D144" i="2" s="1"/>
  <c r="B145" i="2"/>
  <c r="D145" i="2" s="1"/>
  <c r="C145" i="2"/>
  <c r="C146" i="2"/>
  <c r="B146" i="2" s="1"/>
  <c r="D146" i="2" s="1"/>
  <c r="C147" i="2"/>
  <c r="B147" i="2" s="1"/>
  <c r="D147" i="2" s="1"/>
  <c r="C148" i="2"/>
  <c r="B148" i="2" s="1"/>
  <c r="D148" i="2" s="1"/>
  <c r="B149" i="2"/>
  <c r="D149" i="2" s="1"/>
  <c r="C149" i="2"/>
  <c r="C150" i="2"/>
  <c r="B150" i="2" s="1"/>
  <c r="D150" i="2" s="1"/>
  <c r="C151" i="2"/>
  <c r="B151" i="2" s="1"/>
  <c r="D151" i="2" s="1"/>
  <c r="C152" i="2"/>
  <c r="B152" i="2" s="1"/>
  <c r="D152" i="2" s="1"/>
  <c r="B153" i="2"/>
  <c r="D153" i="2" s="1"/>
  <c r="C153" i="2"/>
  <c r="C154" i="2"/>
  <c r="B154" i="2" s="1"/>
  <c r="D154" i="2" s="1"/>
  <c r="C155" i="2"/>
  <c r="B155" i="2" s="1"/>
  <c r="D155" i="2" s="1"/>
  <c r="C156" i="2"/>
  <c r="B156" i="2" s="1"/>
  <c r="D156" i="2" s="1"/>
  <c r="C130" i="2"/>
  <c r="B130" i="2" s="1"/>
  <c r="D130" i="2" s="1"/>
  <c r="B131" i="2"/>
  <c r="D131" i="2" s="1"/>
  <c r="C131" i="2"/>
  <c r="C132" i="2"/>
  <c r="B132" i="2" s="1"/>
  <c r="D132" i="2" s="1"/>
  <c r="C133" i="2"/>
  <c r="B133" i="2" s="1"/>
  <c r="D133" i="2" s="1"/>
  <c r="C134" i="2"/>
  <c r="B134" i="2" s="1"/>
  <c r="D134" i="2" s="1"/>
  <c r="B135" i="2"/>
  <c r="D135" i="2" s="1"/>
  <c r="C135" i="2"/>
  <c r="C136" i="2"/>
  <c r="B136" i="2" s="1"/>
  <c r="D136" i="2" s="1"/>
  <c r="C137" i="2"/>
  <c r="B137" i="2" s="1"/>
  <c r="D137" i="2" s="1"/>
  <c r="C138" i="2"/>
  <c r="B138" i="2" s="1"/>
  <c r="D138" i="2" s="1"/>
  <c r="B139" i="2"/>
  <c r="D139" i="2" s="1"/>
  <c r="C139" i="2"/>
  <c r="B98" i="2"/>
  <c r="D98" i="2" s="1"/>
  <c r="C98" i="2"/>
  <c r="B99" i="2"/>
  <c r="D99" i="2" s="1"/>
  <c r="C99" i="2"/>
  <c r="C100" i="2"/>
  <c r="B100" i="2" s="1"/>
  <c r="D100" i="2" s="1"/>
  <c r="C101" i="2"/>
  <c r="B101" i="2" s="1"/>
  <c r="D101" i="2" s="1"/>
  <c r="B102" i="2"/>
  <c r="D102" i="2" s="1"/>
  <c r="C102" i="2"/>
  <c r="B103" i="2"/>
  <c r="D103" i="2" s="1"/>
  <c r="C103" i="2"/>
  <c r="C104" i="2"/>
  <c r="B104" i="2" s="1"/>
  <c r="D104" i="2" s="1"/>
  <c r="C105" i="2"/>
  <c r="B105" i="2" s="1"/>
  <c r="D105" i="2" s="1"/>
  <c r="B106" i="2"/>
  <c r="D106" i="2" s="1"/>
  <c r="C106" i="2"/>
  <c r="B107" i="2"/>
  <c r="D107" i="2" s="1"/>
  <c r="C107" i="2"/>
  <c r="C108" i="2"/>
  <c r="B108" i="2" s="1"/>
  <c r="D108" i="2" s="1"/>
  <c r="C109" i="2"/>
  <c r="B109" i="2" s="1"/>
  <c r="D109" i="2" s="1"/>
  <c r="B110" i="2"/>
  <c r="D110" i="2" s="1"/>
  <c r="C110" i="2"/>
  <c r="B111" i="2"/>
  <c r="D111" i="2" s="1"/>
  <c r="C111" i="2"/>
  <c r="C112" i="2"/>
  <c r="B112" i="2" s="1"/>
  <c r="D112" i="2" s="1"/>
  <c r="C113" i="2"/>
  <c r="B113" i="2" s="1"/>
  <c r="D113" i="2" s="1"/>
  <c r="B114" i="2"/>
  <c r="D114" i="2" s="1"/>
  <c r="C114" i="2"/>
  <c r="B115" i="2"/>
  <c r="D115" i="2" s="1"/>
  <c r="C115" i="2"/>
  <c r="C116" i="2"/>
  <c r="B116" i="2" s="1"/>
  <c r="D116" i="2" s="1"/>
  <c r="C117" i="2"/>
  <c r="B117" i="2" s="1"/>
  <c r="D117" i="2" s="1"/>
  <c r="B118" i="2"/>
  <c r="D118" i="2" s="1"/>
  <c r="C118" i="2"/>
  <c r="B119" i="2"/>
  <c r="D119" i="2" s="1"/>
  <c r="C119" i="2"/>
  <c r="C120" i="2"/>
  <c r="B120" i="2" s="1"/>
  <c r="D120" i="2" s="1"/>
  <c r="C121" i="2"/>
  <c r="B121" i="2" s="1"/>
  <c r="D121" i="2" s="1"/>
  <c r="B122" i="2"/>
  <c r="D122" i="2" s="1"/>
  <c r="C122" i="2"/>
  <c r="B123" i="2"/>
  <c r="D123" i="2" s="1"/>
  <c r="C123" i="2"/>
  <c r="C124" i="2"/>
  <c r="B124" i="2" s="1"/>
  <c r="D124" i="2" s="1"/>
  <c r="C125" i="2"/>
  <c r="B125" i="2" s="1"/>
  <c r="D125" i="2" s="1"/>
  <c r="B126" i="2"/>
  <c r="D126" i="2" s="1"/>
  <c r="C126" i="2"/>
  <c r="B127" i="2"/>
  <c r="D127" i="2" s="1"/>
  <c r="C127" i="2"/>
  <c r="C128" i="2"/>
  <c r="B128" i="2" s="1"/>
  <c r="D128" i="2" s="1"/>
  <c r="C129" i="2"/>
  <c r="B129" i="2" s="1"/>
  <c r="D129" i="2" s="1"/>
  <c r="B74" i="2"/>
  <c r="D74" i="2" s="1"/>
  <c r="C74" i="2"/>
  <c r="C75" i="2"/>
  <c r="B75" i="2" s="1"/>
  <c r="D75" i="2" s="1"/>
  <c r="C76" i="2"/>
  <c r="B76" i="2" s="1"/>
  <c r="D76" i="2" s="1"/>
  <c r="C77" i="2"/>
  <c r="B77" i="2" s="1"/>
  <c r="D77" i="2" s="1"/>
  <c r="B78" i="2"/>
  <c r="D78" i="2" s="1"/>
  <c r="C78" i="2"/>
  <c r="C79" i="2"/>
  <c r="B79" i="2" s="1"/>
  <c r="D79" i="2" s="1"/>
  <c r="C80" i="2"/>
  <c r="B80" i="2" s="1"/>
  <c r="D80" i="2" s="1"/>
  <c r="C81" i="2"/>
  <c r="B81" i="2" s="1"/>
  <c r="D81" i="2" s="1"/>
  <c r="B82" i="2"/>
  <c r="D82" i="2" s="1"/>
  <c r="C82" i="2"/>
  <c r="C83" i="2"/>
  <c r="B83" i="2" s="1"/>
  <c r="D83" i="2" s="1"/>
  <c r="C84" i="2"/>
  <c r="B84" i="2" s="1"/>
  <c r="D84" i="2" s="1"/>
  <c r="C85" i="2"/>
  <c r="B85" i="2" s="1"/>
  <c r="D85" i="2" s="1"/>
  <c r="B86" i="2"/>
  <c r="D86" i="2" s="1"/>
  <c r="C86" i="2"/>
  <c r="C87" i="2"/>
  <c r="B87" i="2" s="1"/>
  <c r="D87" i="2" s="1"/>
  <c r="C88" i="2"/>
  <c r="B88" i="2" s="1"/>
  <c r="D88" i="2" s="1"/>
  <c r="C89" i="2"/>
  <c r="B89" i="2" s="1"/>
  <c r="D89" i="2" s="1"/>
  <c r="B90" i="2"/>
  <c r="D90" i="2" s="1"/>
  <c r="C90" i="2"/>
  <c r="C91" i="2"/>
  <c r="B91" i="2" s="1"/>
  <c r="D91" i="2" s="1"/>
  <c r="C92" i="2"/>
  <c r="B92" i="2" s="1"/>
  <c r="D92" i="2" s="1"/>
  <c r="C93" i="2"/>
  <c r="B93" i="2" s="1"/>
  <c r="D93" i="2" s="1"/>
  <c r="B94" i="2"/>
  <c r="D94" i="2" s="1"/>
  <c r="C94" i="2"/>
  <c r="C95" i="2"/>
  <c r="B95" i="2" s="1"/>
  <c r="D95" i="2" s="1"/>
  <c r="C96" i="2"/>
  <c r="B96" i="2" s="1"/>
  <c r="D96" i="2" s="1"/>
  <c r="C97" i="2"/>
  <c r="B97" i="2" s="1"/>
  <c r="D97" i="2" s="1"/>
  <c r="B63" i="2"/>
  <c r="D63" i="2" s="1"/>
  <c r="C63" i="2"/>
  <c r="C64" i="2"/>
  <c r="B64" i="2" s="1"/>
  <c r="D64" i="2" s="1"/>
  <c r="C65" i="2"/>
  <c r="B65" i="2" s="1"/>
  <c r="D65" i="2" s="1"/>
  <c r="B66" i="2"/>
  <c r="D66" i="2" s="1"/>
  <c r="C66" i="2"/>
  <c r="C67" i="2"/>
  <c r="B67" i="2" s="1"/>
  <c r="D67" i="2" s="1"/>
  <c r="C68" i="2"/>
  <c r="B68" i="2" s="1"/>
  <c r="D68" i="2" s="1"/>
  <c r="C69" i="2"/>
  <c r="B69" i="2" s="1"/>
  <c r="D69" i="2" s="1"/>
  <c r="B70" i="2"/>
  <c r="D70" i="2" s="1"/>
  <c r="C70" i="2"/>
  <c r="C71" i="2"/>
  <c r="B71" i="2" s="1"/>
  <c r="D71" i="2" s="1"/>
  <c r="C72" i="2"/>
  <c r="B72" i="2" s="1"/>
  <c r="D72" i="2" s="1"/>
  <c r="B73" i="2"/>
  <c r="D73" i="2" s="1"/>
  <c r="C73" i="2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A2102" i="1" l="1"/>
  <c r="A2114" i="1" s="1"/>
  <c r="B2119" i="1" l="1"/>
  <c r="A2126" i="1"/>
  <c r="B2117" i="1"/>
  <c r="B2114" i="1"/>
  <c r="B2122" i="1"/>
  <c r="A2115" i="1"/>
  <c r="B2120" i="1"/>
  <c r="B2107" i="1"/>
  <c r="B2102" i="1"/>
  <c r="A2103" i="1"/>
  <c r="B2110" i="1"/>
  <c r="B2108" i="1"/>
  <c r="B2105" i="1"/>
  <c r="B2095" i="1"/>
  <c r="B2083" i="1"/>
  <c r="B2071" i="1"/>
  <c r="B2059" i="1"/>
  <c r="B2047" i="1"/>
  <c r="B2035" i="1"/>
  <c r="B2023" i="1"/>
  <c r="B2011" i="1"/>
  <c r="B1999" i="1"/>
  <c r="B1987" i="1"/>
  <c r="B1975" i="1"/>
  <c r="B1963" i="1"/>
  <c r="B1951" i="1"/>
  <c r="B1939" i="1"/>
  <c r="B1927" i="1"/>
  <c r="B1915" i="1"/>
  <c r="B1903" i="1"/>
  <c r="B1891" i="1"/>
  <c r="B1879" i="1"/>
  <c r="B1867" i="1"/>
  <c r="B1855" i="1"/>
  <c r="B1843" i="1"/>
  <c r="B1831" i="1"/>
  <c r="B1819" i="1"/>
  <c r="B1807" i="1"/>
  <c r="B1795" i="1"/>
  <c r="B1783" i="1"/>
  <c r="B1771" i="1"/>
  <c r="B1759" i="1"/>
  <c r="B1747" i="1"/>
  <c r="B1735" i="1"/>
  <c r="B1723" i="1"/>
  <c r="B1711" i="1"/>
  <c r="B1699" i="1"/>
  <c r="B1687" i="1"/>
  <c r="B1675" i="1"/>
  <c r="B1663" i="1"/>
  <c r="B1651" i="1"/>
  <c r="B1639" i="1"/>
  <c r="B1627" i="1"/>
  <c r="B1615" i="1"/>
  <c r="B1603" i="1"/>
  <c r="B1591" i="1"/>
  <c r="B1579" i="1"/>
  <c r="B1567" i="1"/>
  <c r="B1555" i="1"/>
  <c r="B1543" i="1"/>
  <c r="B1531" i="1"/>
  <c r="B1519" i="1"/>
  <c r="B1507" i="1"/>
  <c r="B1495" i="1"/>
  <c r="B1483" i="1"/>
  <c r="B1471" i="1"/>
  <c r="B1459" i="1"/>
  <c r="B1447" i="1"/>
  <c r="B1435" i="1"/>
  <c r="B1423" i="1"/>
  <c r="B1411" i="1"/>
  <c r="B1399" i="1"/>
  <c r="B1387" i="1"/>
  <c r="B1375" i="1"/>
  <c r="B1363" i="1"/>
  <c r="B1351" i="1"/>
  <c r="B1339" i="1"/>
  <c r="B1327" i="1"/>
  <c r="B1315" i="1"/>
  <c r="B1303" i="1"/>
  <c r="B1291" i="1"/>
  <c r="B1279" i="1"/>
  <c r="B1267" i="1"/>
  <c r="B1255" i="1"/>
  <c r="B1243" i="1"/>
  <c r="B1231" i="1"/>
  <c r="B1219" i="1"/>
  <c r="B1207" i="1"/>
  <c r="B1195" i="1"/>
  <c r="B1183" i="1"/>
  <c r="B1171" i="1"/>
  <c r="B1159" i="1"/>
  <c r="B1147" i="1"/>
  <c r="B1135" i="1"/>
  <c r="B1123" i="1"/>
  <c r="B1111" i="1"/>
  <c r="B1099" i="1"/>
  <c r="B1087" i="1"/>
  <c r="B1075" i="1"/>
  <c r="B1063" i="1"/>
  <c r="B1051" i="1"/>
  <c r="B1039" i="1"/>
  <c r="B1027" i="1"/>
  <c r="B1015" i="1"/>
  <c r="B1003" i="1"/>
  <c r="B991" i="1"/>
  <c r="B979" i="1"/>
  <c r="B967" i="1"/>
  <c r="B955" i="1"/>
  <c r="B943" i="1"/>
  <c r="B931" i="1"/>
  <c r="B919" i="1"/>
  <c r="B907" i="1"/>
  <c r="B895" i="1"/>
  <c r="B883" i="1"/>
  <c r="B871" i="1"/>
  <c r="B859" i="1"/>
  <c r="B847" i="1"/>
  <c r="B835" i="1"/>
  <c r="B823" i="1"/>
  <c r="B811" i="1"/>
  <c r="B799" i="1"/>
  <c r="B787" i="1"/>
  <c r="B775" i="1"/>
  <c r="B763" i="1"/>
  <c r="B751" i="1"/>
  <c r="B739" i="1"/>
  <c r="B727" i="1"/>
  <c r="B715" i="1"/>
  <c r="B703" i="1"/>
  <c r="B691" i="1"/>
  <c r="B679" i="1"/>
  <c r="B667" i="1"/>
  <c r="B655" i="1"/>
  <c r="B643" i="1"/>
  <c r="B631" i="1"/>
  <c r="B619" i="1"/>
  <c r="B607" i="1"/>
  <c r="B595" i="1"/>
  <c r="B583" i="1"/>
  <c r="B571" i="1"/>
  <c r="B559" i="1"/>
  <c r="B547" i="1"/>
  <c r="B535" i="1"/>
  <c r="B523" i="1"/>
  <c r="B511" i="1"/>
  <c r="B499" i="1"/>
  <c r="B487" i="1"/>
  <c r="B475" i="1"/>
  <c r="B463" i="1"/>
  <c r="B451" i="1"/>
  <c r="B439" i="1"/>
  <c r="B427" i="1"/>
  <c r="B415" i="1"/>
  <c r="B403" i="1"/>
  <c r="B391" i="1"/>
  <c r="B379" i="1"/>
  <c r="B367" i="1"/>
  <c r="B355" i="1"/>
  <c r="B343" i="1"/>
  <c r="B331" i="1"/>
  <c r="B319" i="1"/>
  <c r="B307" i="1"/>
  <c r="B295" i="1"/>
  <c r="B283" i="1"/>
  <c r="B271" i="1"/>
  <c r="B259" i="1"/>
  <c r="B247" i="1"/>
  <c r="B235" i="1"/>
  <c r="B223" i="1"/>
  <c r="B211" i="1"/>
  <c r="B199" i="1"/>
  <c r="B187" i="1"/>
  <c r="B175" i="1"/>
  <c r="B163" i="1"/>
  <c r="B151" i="1"/>
  <c r="B139" i="1"/>
  <c r="B127" i="1"/>
  <c r="B115" i="1"/>
  <c r="B103" i="1"/>
  <c r="B91" i="1"/>
  <c r="B79" i="1"/>
  <c r="B67" i="1"/>
  <c r="B55" i="1"/>
  <c r="B43" i="1"/>
  <c r="B31" i="1"/>
  <c r="B19" i="1"/>
  <c r="B7" i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2" i="3"/>
  <c r="B1412" i="1"/>
  <c r="A1406" i="1"/>
  <c r="B1406" i="1" s="1"/>
  <c r="B752" i="1"/>
  <c r="A746" i="1"/>
  <c r="B737" i="1"/>
  <c r="A734" i="1"/>
  <c r="B730" i="1"/>
  <c r="B725" i="1"/>
  <c r="A723" i="1"/>
  <c r="A722" i="1"/>
  <c r="B728" i="1" s="1"/>
  <c r="B718" i="1"/>
  <c r="B716" i="1"/>
  <c r="B713" i="1"/>
  <c r="A711" i="1"/>
  <c r="B710" i="1"/>
  <c r="A710" i="1"/>
  <c r="C54" i="2"/>
  <c r="B54" i="2" s="1"/>
  <c r="D54" i="2" s="1"/>
  <c r="B55" i="2"/>
  <c r="D55" i="2" s="1"/>
  <c r="C55" i="2"/>
  <c r="C56" i="2"/>
  <c r="B56" i="2" s="1"/>
  <c r="D56" i="2" s="1"/>
  <c r="C57" i="2"/>
  <c r="B57" i="2" s="1"/>
  <c r="D57" i="2" s="1"/>
  <c r="C58" i="2"/>
  <c r="B58" i="2" s="1"/>
  <c r="D58" i="2" s="1"/>
  <c r="B59" i="2"/>
  <c r="D59" i="2" s="1"/>
  <c r="C59" i="2"/>
  <c r="C60" i="2"/>
  <c r="B60" i="2" s="1"/>
  <c r="D60" i="2" s="1"/>
  <c r="C61" i="2"/>
  <c r="B61" i="2" s="1"/>
  <c r="D61" i="2" s="1"/>
  <c r="C62" i="2"/>
  <c r="B62" i="2" s="1"/>
  <c r="D62" i="2" s="1"/>
  <c r="C50" i="2"/>
  <c r="B50" i="2" s="1"/>
  <c r="D50" i="2" s="1"/>
  <c r="B51" i="2"/>
  <c r="D51" i="2" s="1"/>
  <c r="C51" i="2"/>
  <c r="C52" i="2"/>
  <c r="B52" i="2" s="1"/>
  <c r="D52" i="2" s="1"/>
  <c r="C53" i="2"/>
  <c r="B53" i="2" s="1"/>
  <c r="D53" i="2" s="1"/>
  <c r="B46" i="2"/>
  <c r="D46" i="2" s="1"/>
  <c r="C46" i="2"/>
  <c r="C47" i="2"/>
  <c r="B47" i="2" s="1"/>
  <c r="D47" i="2" s="1"/>
  <c r="C48" i="2"/>
  <c r="B48" i="2" s="1"/>
  <c r="D48" i="2" s="1"/>
  <c r="C49" i="2"/>
  <c r="B49" i="2" s="1"/>
  <c r="D49" i="2" s="1"/>
  <c r="B43" i="2"/>
  <c r="D43" i="2" s="1"/>
  <c r="C43" i="2"/>
  <c r="C44" i="2"/>
  <c r="B44" i="2" s="1"/>
  <c r="D44" i="2" s="1"/>
  <c r="C45" i="2"/>
  <c r="B45" i="2" s="1"/>
  <c r="D45" i="2" s="1"/>
  <c r="B38" i="2"/>
  <c r="D38" i="2" s="1"/>
  <c r="C38" i="2"/>
  <c r="C39" i="2"/>
  <c r="B39" i="2" s="1"/>
  <c r="D39" i="2" s="1"/>
  <c r="C40" i="2"/>
  <c r="B40" i="2" s="1"/>
  <c r="D40" i="2" s="1"/>
  <c r="C41" i="2"/>
  <c r="B41" i="2" s="1"/>
  <c r="D41" i="2" s="1"/>
  <c r="B42" i="2"/>
  <c r="D42" i="2" s="1"/>
  <c r="C42" i="2"/>
  <c r="C30" i="2"/>
  <c r="B30" i="2" s="1"/>
  <c r="D30" i="2" s="1"/>
  <c r="B31" i="2"/>
  <c r="D31" i="2" s="1"/>
  <c r="C31" i="2"/>
  <c r="C32" i="2"/>
  <c r="B32" i="2" s="1"/>
  <c r="D32" i="2" s="1"/>
  <c r="C33" i="2"/>
  <c r="B33" i="2" s="1"/>
  <c r="D33" i="2" s="1"/>
  <c r="C34" i="2"/>
  <c r="B34" i="2" s="1"/>
  <c r="D34" i="2" s="1"/>
  <c r="B35" i="2"/>
  <c r="D35" i="2" s="1"/>
  <c r="C35" i="2"/>
  <c r="C36" i="2"/>
  <c r="B36" i="2" s="1"/>
  <c r="D36" i="2" s="1"/>
  <c r="C37" i="2"/>
  <c r="B37" i="2" s="1"/>
  <c r="D37" i="2" s="1"/>
  <c r="C9" i="2"/>
  <c r="B9" i="2" s="1"/>
  <c r="D9" i="2" s="1"/>
  <c r="B10" i="2"/>
  <c r="D10" i="2" s="1"/>
  <c r="C10" i="2"/>
  <c r="C11" i="2"/>
  <c r="B11" i="2" s="1"/>
  <c r="D11" i="2" s="1"/>
  <c r="C12" i="2"/>
  <c r="B12" i="2" s="1"/>
  <c r="D12" i="2" s="1"/>
  <c r="C13" i="2"/>
  <c r="B13" i="2" s="1"/>
  <c r="D13" i="2" s="1"/>
  <c r="B14" i="2"/>
  <c r="D14" i="2" s="1"/>
  <c r="C14" i="2"/>
  <c r="C15" i="2"/>
  <c r="B15" i="2" s="1"/>
  <c r="D15" i="2" s="1"/>
  <c r="C16" i="2"/>
  <c r="B16" i="2" s="1"/>
  <c r="D16" i="2" s="1"/>
  <c r="C17" i="2"/>
  <c r="B17" i="2" s="1"/>
  <c r="D17" i="2" s="1"/>
  <c r="B18" i="2"/>
  <c r="D18" i="2" s="1"/>
  <c r="C18" i="2"/>
  <c r="C19" i="2"/>
  <c r="B19" i="2" s="1"/>
  <c r="D19" i="2" s="1"/>
  <c r="C20" i="2"/>
  <c r="B20" i="2" s="1"/>
  <c r="D20" i="2" s="1"/>
  <c r="C21" i="2"/>
  <c r="B21" i="2" s="1"/>
  <c r="D21" i="2" s="1"/>
  <c r="B22" i="2"/>
  <c r="D22" i="2" s="1"/>
  <c r="C22" i="2"/>
  <c r="C23" i="2"/>
  <c r="B23" i="2" s="1"/>
  <c r="D23" i="2" s="1"/>
  <c r="C24" i="2"/>
  <c r="B24" i="2" s="1"/>
  <c r="D24" i="2" s="1"/>
  <c r="C25" i="2"/>
  <c r="B25" i="2" s="1"/>
  <c r="D25" i="2" s="1"/>
  <c r="B26" i="2"/>
  <c r="D26" i="2" s="1"/>
  <c r="C26" i="2"/>
  <c r="C27" i="2"/>
  <c r="B27" i="2" s="1"/>
  <c r="D27" i="2" s="1"/>
  <c r="C28" i="2"/>
  <c r="B28" i="2" s="1"/>
  <c r="D28" i="2" s="1"/>
  <c r="C29" i="2"/>
  <c r="B29" i="2" s="1"/>
  <c r="D29" i="2" s="1"/>
  <c r="C3" i="2"/>
  <c r="B3" i="2" s="1"/>
  <c r="D3" i="2" s="1"/>
  <c r="B4" i="2"/>
  <c r="D4" i="2" s="1"/>
  <c r="C4" i="2"/>
  <c r="C5" i="2"/>
  <c r="B5" i="2" s="1"/>
  <c r="D5" i="2" s="1"/>
  <c r="C6" i="2"/>
  <c r="B6" i="2" s="1"/>
  <c r="D6" i="2" s="1"/>
  <c r="C7" i="2"/>
  <c r="B7" i="2" s="1"/>
  <c r="D7" i="2" s="1"/>
  <c r="B8" i="2"/>
  <c r="D8" i="2" s="1"/>
  <c r="C8" i="2"/>
  <c r="B2" i="2"/>
  <c r="D2" i="2" s="1"/>
  <c r="C2" i="2"/>
  <c r="B1" i="2"/>
  <c r="B2132" i="1" l="1"/>
  <c r="B2126" i="1"/>
  <c r="A2127" i="1"/>
  <c r="B2131" i="1"/>
  <c r="B2134" i="1"/>
  <c r="A2138" i="1"/>
  <c r="B2129" i="1"/>
  <c r="A1418" i="1"/>
  <c r="B1409" i="1"/>
  <c r="B1414" i="1"/>
  <c r="A1407" i="1"/>
  <c r="A758" i="1"/>
  <c r="B749" i="1"/>
  <c r="B754" i="1"/>
  <c r="A747" i="1"/>
  <c r="B742" i="1"/>
  <c r="A735" i="1"/>
  <c r="B740" i="1"/>
  <c r="B734" i="1"/>
  <c r="B746" i="1"/>
  <c r="B722" i="1"/>
  <c r="A698" i="1"/>
  <c r="A686" i="1"/>
  <c r="B692" i="1" s="1"/>
  <c r="A674" i="1"/>
  <c r="A662" i="1"/>
  <c r="A650" i="1"/>
  <c r="A638" i="1"/>
  <c r="B644" i="1" s="1"/>
  <c r="A626" i="1"/>
  <c r="A614" i="1"/>
  <c r="A602" i="1"/>
  <c r="A590" i="1"/>
  <c r="A578" i="1"/>
  <c r="B586" i="1" s="1"/>
  <c r="A566" i="1"/>
  <c r="A554" i="1"/>
  <c r="A542" i="1"/>
  <c r="A530" i="1"/>
  <c r="A518" i="1"/>
  <c r="A506" i="1"/>
  <c r="A494" i="1"/>
  <c r="A482" i="1"/>
  <c r="A470" i="1"/>
  <c r="A458" i="1"/>
  <c r="A446" i="1"/>
  <c r="B452" i="1" s="1"/>
  <c r="A434" i="1"/>
  <c r="A422" i="1"/>
  <c r="A410" i="1"/>
  <c r="A398" i="1"/>
  <c r="A386" i="1"/>
  <c r="A374" i="1"/>
  <c r="A362" i="1"/>
  <c r="A350" i="1"/>
  <c r="A338" i="1"/>
  <c r="A326" i="1"/>
  <c r="A314" i="1"/>
  <c r="A302" i="1"/>
  <c r="A290" i="1"/>
  <c r="A278" i="1"/>
  <c r="A266" i="1"/>
  <c r="A254" i="1"/>
  <c r="A242" i="1"/>
  <c r="A230" i="1"/>
  <c r="A218" i="1"/>
  <c r="A206" i="1"/>
  <c r="A194" i="1"/>
  <c r="A182" i="1"/>
  <c r="A170" i="1"/>
  <c r="A158" i="1"/>
  <c r="A146" i="1"/>
  <c r="A122" i="1"/>
  <c r="A134" i="1"/>
  <c r="A110" i="1"/>
  <c r="A98" i="1"/>
  <c r="A86" i="1"/>
  <c r="A74" i="1"/>
  <c r="A62" i="1"/>
  <c r="A38" i="1"/>
  <c r="A50" i="1" s="1"/>
  <c r="A26" i="1"/>
  <c r="A14" i="1"/>
  <c r="B706" i="1"/>
  <c r="B704" i="1"/>
  <c r="B701" i="1"/>
  <c r="A699" i="1"/>
  <c r="B698" i="1"/>
  <c r="B694" i="1"/>
  <c r="B689" i="1"/>
  <c r="A687" i="1"/>
  <c r="B686" i="1"/>
  <c r="B682" i="1"/>
  <c r="B680" i="1"/>
  <c r="B677" i="1"/>
  <c r="A675" i="1"/>
  <c r="B674" i="1"/>
  <c r="B670" i="1"/>
  <c r="B668" i="1"/>
  <c r="B665" i="1"/>
  <c r="A663" i="1"/>
  <c r="B662" i="1"/>
  <c r="B658" i="1"/>
  <c r="B656" i="1"/>
  <c r="B653" i="1"/>
  <c r="A651" i="1"/>
  <c r="B650" i="1"/>
  <c r="B646" i="1"/>
  <c r="B641" i="1"/>
  <c r="A639" i="1"/>
  <c r="B638" i="1"/>
  <c r="B634" i="1"/>
  <c r="B632" i="1"/>
  <c r="B629" i="1"/>
  <c r="A627" i="1"/>
  <c r="B626" i="1"/>
  <c r="B622" i="1"/>
  <c r="B620" i="1"/>
  <c r="B617" i="1"/>
  <c r="A615" i="1"/>
  <c r="B614" i="1"/>
  <c r="B610" i="1"/>
  <c r="B608" i="1"/>
  <c r="A603" i="1"/>
  <c r="B602" i="1"/>
  <c r="B598" i="1"/>
  <c r="B596" i="1"/>
  <c r="B593" i="1"/>
  <c r="A591" i="1"/>
  <c r="B590" i="1"/>
  <c r="B584" i="1"/>
  <c r="B581" i="1"/>
  <c r="A579" i="1"/>
  <c r="B578" i="1"/>
  <c r="B574" i="1"/>
  <c r="B572" i="1"/>
  <c r="B569" i="1"/>
  <c r="A567" i="1"/>
  <c r="B566" i="1"/>
  <c r="B562" i="1"/>
  <c r="B560" i="1"/>
  <c r="B557" i="1"/>
  <c r="A555" i="1"/>
  <c r="B554" i="1"/>
  <c r="B550" i="1"/>
  <c r="B548" i="1"/>
  <c r="B545" i="1"/>
  <c r="A543" i="1"/>
  <c r="B542" i="1"/>
  <c r="B538" i="1"/>
  <c r="B536" i="1"/>
  <c r="B533" i="1"/>
  <c r="A531" i="1"/>
  <c r="B530" i="1"/>
  <c r="B526" i="1"/>
  <c r="B524" i="1"/>
  <c r="B521" i="1"/>
  <c r="A519" i="1"/>
  <c r="B518" i="1"/>
  <c r="B514" i="1"/>
  <c r="B512" i="1"/>
  <c r="B509" i="1"/>
  <c r="A507" i="1"/>
  <c r="B506" i="1"/>
  <c r="B502" i="1"/>
  <c r="B500" i="1"/>
  <c r="B497" i="1"/>
  <c r="A495" i="1"/>
  <c r="B494" i="1"/>
  <c r="B490" i="1"/>
  <c r="B488" i="1"/>
  <c r="B485" i="1"/>
  <c r="A483" i="1"/>
  <c r="B482" i="1"/>
  <c r="B478" i="1"/>
  <c r="B476" i="1"/>
  <c r="B473" i="1"/>
  <c r="A471" i="1"/>
  <c r="B470" i="1"/>
  <c r="B464" i="1"/>
  <c r="B458" i="1"/>
  <c r="B454" i="1"/>
  <c r="B449" i="1"/>
  <c r="A447" i="1"/>
  <c r="B446" i="1"/>
  <c r="B442" i="1"/>
  <c r="B440" i="1"/>
  <c r="B437" i="1"/>
  <c r="A435" i="1"/>
  <c r="B434" i="1"/>
  <c r="B430" i="1"/>
  <c r="B428" i="1"/>
  <c r="B425" i="1"/>
  <c r="A423" i="1"/>
  <c r="B422" i="1"/>
  <c r="B418" i="1"/>
  <c r="B416" i="1"/>
  <c r="A411" i="1"/>
  <c r="B410" i="1"/>
  <c r="B406" i="1"/>
  <c r="B404" i="1"/>
  <c r="B401" i="1"/>
  <c r="A399" i="1"/>
  <c r="B398" i="1"/>
  <c r="B394" i="1"/>
  <c r="B392" i="1"/>
  <c r="B389" i="1"/>
  <c r="A387" i="1"/>
  <c r="B386" i="1"/>
  <c r="B382" i="1"/>
  <c r="B380" i="1"/>
  <c r="B377" i="1"/>
  <c r="A375" i="1"/>
  <c r="B374" i="1"/>
  <c r="B370" i="1"/>
  <c r="B368" i="1"/>
  <c r="B365" i="1"/>
  <c r="A363" i="1"/>
  <c r="B362" i="1"/>
  <c r="B358" i="1"/>
  <c r="B356" i="1"/>
  <c r="B353" i="1"/>
  <c r="A351" i="1"/>
  <c r="B350" i="1"/>
  <c r="B346" i="1"/>
  <c r="B344" i="1"/>
  <c r="B341" i="1"/>
  <c r="A339" i="1"/>
  <c r="B338" i="1"/>
  <c r="B334" i="1"/>
  <c r="B332" i="1"/>
  <c r="B329" i="1"/>
  <c r="A327" i="1"/>
  <c r="B326" i="1"/>
  <c r="B322" i="1"/>
  <c r="B320" i="1"/>
  <c r="B317" i="1"/>
  <c r="A315" i="1"/>
  <c r="B314" i="1"/>
  <c r="B310" i="1"/>
  <c r="B308" i="1"/>
  <c r="B305" i="1"/>
  <c r="A303" i="1"/>
  <c r="B302" i="1"/>
  <c r="B298" i="1"/>
  <c r="B296" i="1"/>
  <c r="B293" i="1"/>
  <c r="A291" i="1"/>
  <c r="B290" i="1"/>
  <c r="B286" i="1"/>
  <c r="B284" i="1"/>
  <c r="B281" i="1"/>
  <c r="A279" i="1"/>
  <c r="B278" i="1"/>
  <c r="B274" i="1"/>
  <c r="B272" i="1"/>
  <c r="B269" i="1"/>
  <c r="A267" i="1"/>
  <c r="B266" i="1"/>
  <c r="B262" i="1"/>
  <c r="B260" i="1"/>
  <c r="B257" i="1"/>
  <c r="A255" i="1"/>
  <c r="B254" i="1"/>
  <c r="B250" i="1"/>
  <c r="B248" i="1"/>
  <c r="B245" i="1"/>
  <c r="A243" i="1"/>
  <c r="B242" i="1"/>
  <c r="B238" i="1"/>
  <c r="B236" i="1"/>
  <c r="B233" i="1"/>
  <c r="A231" i="1"/>
  <c r="B230" i="1"/>
  <c r="B226" i="1"/>
  <c r="B224" i="1"/>
  <c r="B221" i="1"/>
  <c r="A219" i="1"/>
  <c r="B218" i="1"/>
  <c r="B214" i="1"/>
  <c r="B212" i="1"/>
  <c r="B209" i="1"/>
  <c r="A207" i="1"/>
  <c r="B206" i="1"/>
  <c r="B202" i="1"/>
  <c r="B200" i="1"/>
  <c r="B197" i="1"/>
  <c r="A195" i="1"/>
  <c r="B194" i="1"/>
  <c r="B190" i="1"/>
  <c r="B188" i="1"/>
  <c r="B185" i="1"/>
  <c r="A183" i="1"/>
  <c r="B182" i="1"/>
  <c r="B178" i="1"/>
  <c r="B176" i="1"/>
  <c r="B173" i="1"/>
  <c r="A171" i="1"/>
  <c r="B170" i="1"/>
  <c r="B166" i="1"/>
  <c r="B164" i="1"/>
  <c r="B161" i="1"/>
  <c r="A159" i="1"/>
  <c r="B158" i="1"/>
  <c r="B154" i="1"/>
  <c r="B152" i="1"/>
  <c r="B149" i="1"/>
  <c r="A147" i="1"/>
  <c r="B146" i="1"/>
  <c r="B142" i="1"/>
  <c r="B140" i="1"/>
  <c r="B137" i="1"/>
  <c r="A135" i="1"/>
  <c r="B134" i="1"/>
  <c r="B130" i="1"/>
  <c r="B128" i="1"/>
  <c r="B125" i="1"/>
  <c r="A123" i="1"/>
  <c r="B122" i="1"/>
  <c r="B118" i="1"/>
  <c r="B116" i="1"/>
  <c r="B113" i="1"/>
  <c r="A111" i="1"/>
  <c r="B110" i="1"/>
  <c r="B106" i="1"/>
  <c r="B104" i="1"/>
  <c r="B101" i="1"/>
  <c r="A99" i="1"/>
  <c r="B98" i="1"/>
  <c r="B94" i="1"/>
  <c r="B92" i="1"/>
  <c r="B89" i="1"/>
  <c r="A87" i="1"/>
  <c r="B86" i="1"/>
  <c r="B82" i="1"/>
  <c r="B80" i="1"/>
  <c r="B77" i="1"/>
  <c r="A75" i="1"/>
  <c r="B74" i="1"/>
  <c r="B70" i="1"/>
  <c r="B68" i="1"/>
  <c r="B65" i="1"/>
  <c r="A63" i="1"/>
  <c r="B62" i="1"/>
  <c r="B22" i="1"/>
  <c r="B20" i="1"/>
  <c r="B17" i="1"/>
  <c r="A15" i="1"/>
  <c r="B14" i="1"/>
  <c r="B10" i="1"/>
  <c r="B8" i="1"/>
  <c r="B5" i="1"/>
  <c r="A3" i="1"/>
  <c r="B2" i="1"/>
  <c r="B2146" i="1" l="1"/>
  <c r="A2139" i="1"/>
  <c r="B2144" i="1"/>
  <c r="B2138" i="1"/>
  <c r="A2150" i="1"/>
  <c r="B2143" i="1"/>
  <c r="B2141" i="1"/>
  <c r="A1430" i="1"/>
  <c r="B1421" i="1"/>
  <c r="B1424" i="1"/>
  <c r="B1418" i="1"/>
  <c r="A1419" i="1"/>
  <c r="B1426" i="1"/>
  <c r="A770" i="1"/>
  <c r="B761" i="1"/>
  <c r="A759" i="1"/>
  <c r="B758" i="1"/>
  <c r="B766" i="1"/>
  <c r="B764" i="1"/>
  <c r="B605" i="1"/>
  <c r="A459" i="1"/>
  <c r="B461" i="1"/>
  <c r="B466" i="1"/>
  <c r="B413" i="1"/>
  <c r="A51" i="1"/>
  <c r="B56" i="1"/>
  <c r="B58" i="1"/>
  <c r="B53" i="1"/>
  <c r="B50" i="1"/>
  <c r="B32" i="1"/>
  <c r="B26" i="1"/>
  <c r="A27" i="1"/>
  <c r="B29" i="1"/>
  <c r="B34" i="1"/>
  <c r="A39" i="1"/>
  <c r="B41" i="1"/>
  <c r="B46" i="1"/>
  <c r="B38" i="1"/>
  <c r="B44" i="1"/>
  <c r="A2162" i="1" l="1"/>
  <c r="B2153" i="1"/>
  <c r="B2155" i="1"/>
  <c r="B2158" i="1"/>
  <c r="A2151" i="1"/>
  <c r="B2156" i="1"/>
  <c r="B2150" i="1"/>
  <c r="B1436" i="1"/>
  <c r="B1430" i="1"/>
  <c r="B1438" i="1"/>
  <c r="B1433" i="1"/>
  <c r="A1431" i="1"/>
  <c r="A1442" i="1"/>
  <c r="B776" i="1"/>
  <c r="B770" i="1"/>
  <c r="B773" i="1"/>
  <c r="A771" i="1"/>
  <c r="A782" i="1"/>
  <c r="B778" i="1"/>
  <c r="B2167" i="1" l="1"/>
  <c r="B2168" i="1"/>
  <c r="A2174" i="1"/>
  <c r="B2165" i="1"/>
  <c r="B2170" i="1"/>
  <c r="A2163" i="1"/>
  <c r="B2162" i="1"/>
  <c r="B1450" i="1"/>
  <c r="A1443" i="1"/>
  <c r="B1448" i="1"/>
  <c r="B1442" i="1"/>
  <c r="A1454" i="1"/>
  <c r="B1445" i="1"/>
  <c r="B790" i="1"/>
  <c r="A783" i="1"/>
  <c r="B788" i="1"/>
  <c r="B782" i="1"/>
  <c r="B785" i="1"/>
  <c r="A794" i="1"/>
  <c r="B2180" i="1" l="1"/>
  <c r="B2174" i="1"/>
  <c r="B2179" i="1"/>
  <c r="A2175" i="1"/>
  <c r="A2186" i="1"/>
  <c r="B2177" i="1"/>
  <c r="B2182" i="1"/>
  <c r="A1466" i="1"/>
  <c r="B1457" i="1"/>
  <c r="B1462" i="1"/>
  <c r="A1455" i="1"/>
  <c r="B1454" i="1"/>
  <c r="B1460" i="1"/>
  <c r="A806" i="1"/>
  <c r="B797" i="1"/>
  <c r="B802" i="1"/>
  <c r="A795" i="1"/>
  <c r="B800" i="1"/>
  <c r="B794" i="1"/>
  <c r="B2194" i="1" l="1"/>
  <c r="A2187" i="1"/>
  <c r="B2189" i="1"/>
  <c r="B2192" i="1"/>
  <c r="B2186" i="1"/>
  <c r="B2191" i="1"/>
  <c r="A2198" i="1"/>
  <c r="A1478" i="1"/>
  <c r="B1469" i="1"/>
  <c r="B1466" i="1"/>
  <c r="B1472" i="1"/>
  <c r="B1474" i="1"/>
  <c r="A1467" i="1"/>
  <c r="A818" i="1"/>
  <c r="B809" i="1"/>
  <c r="B814" i="1"/>
  <c r="B812" i="1"/>
  <c r="A807" i="1"/>
  <c r="B806" i="1"/>
  <c r="A2210" i="1" l="1"/>
  <c r="B2201" i="1"/>
  <c r="B2206" i="1"/>
  <c r="A2199" i="1"/>
  <c r="B2203" i="1"/>
  <c r="B2204" i="1"/>
  <c r="B2198" i="1"/>
  <c r="B1484" i="1"/>
  <c r="B1478" i="1"/>
  <c r="A1490" i="1"/>
  <c r="A1479" i="1"/>
  <c r="B1486" i="1"/>
  <c r="B1481" i="1"/>
  <c r="B826" i="1"/>
  <c r="B824" i="1"/>
  <c r="B818" i="1"/>
  <c r="A830" i="1"/>
  <c r="B821" i="1"/>
  <c r="A819" i="1"/>
  <c r="B2215" i="1" l="1"/>
  <c r="A2222" i="1"/>
  <c r="B2213" i="1"/>
  <c r="B2216" i="1"/>
  <c r="B2218" i="1"/>
  <c r="A2211" i="1"/>
  <c r="B2210" i="1"/>
  <c r="B1498" i="1"/>
  <c r="A1491" i="1"/>
  <c r="B1496" i="1"/>
  <c r="B1490" i="1"/>
  <c r="A1502" i="1"/>
  <c r="B1493" i="1"/>
  <c r="A842" i="1"/>
  <c r="B833" i="1"/>
  <c r="A831" i="1"/>
  <c r="B830" i="1"/>
  <c r="B838" i="1"/>
  <c r="B836" i="1"/>
  <c r="B2228" i="1" l="1"/>
  <c r="B2222" i="1"/>
  <c r="A2223" i="1"/>
  <c r="B2227" i="1"/>
  <c r="A2234" i="1"/>
  <c r="B2225" i="1"/>
  <c r="B2230" i="1"/>
  <c r="A1514" i="1"/>
  <c r="B1505" i="1"/>
  <c r="B1508" i="1"/>
  <c r="B1502" i="1"/>
  <c r="B1510" i="1"/>
  <c r="A1503" i="1"/>
  <c r="A854" i="1"/>
  <c r="A843" i="1"/>
  <c r="B850" i="1"/>
  <c r="B842" i="1"/>
  <c r="B848" i="1"/>
  <c r="B845" i="1"/>
  <c r="B2242" i="1" l="1"/>
  <c r="A2235" i="1"/>
  <c r="B2240" i="1"/>
  <c r="B2234" i="1"/>
  <c r="B2237" i="1"/>
  <c r="B2239" i="1"/>
  <c r="A2246" i="1"/>
  <c r="B1522" i="1"/>
  <c r="B1520" i="1"/>
  <c r="B1517" i="1"/>
  <c r="A1515" i="1"/>
  <c r="B1514" i="1"/>
  <c r="A1526" i="1"/>
  <c r="B860" i="1"/>
  <c r="B854" i="1"/>
  <c r="B862" i="1"/>
  <c r="A866" i="1"/>
  <c r="B857" i="1"/>
  <c r="A855" i="1"/>
  <c r="A2258" i="1" l="1"/>
  <c r="B2249" i="1"/>
  <c r="B2251" i="1"/>
  <c r="B2254" i="1"/>
  <c r="A2247" i="1"/>
  <c r="B2252" i="1"/>
  <c r="B2246" i="1"/>
  <c r="A1538" i="1"/>
  <c r="B1529" i="1"/>
  <c r="B1534" i="1"/>
  <c r="A1527" i="1"/>
  <c r="B1532" i="1"/>
  <c r="B1526" i="1"/>
  <c r="B874" i="1"/>
  <c r="A867" i="1"/>
  <c r="B869" i="1"/>
  <c r="B866" i="1"/>
  <c r="A878" i="1"/>
  <c r="B872" i="1"/>
  <c r="B2263" i="1" l="1"/>
  <c r="B2264" i="1"/>
  <c r="A2270" i="1"/>
  <c r="B2261" i="1"/>
  <c r="B2266" i="1"/>
  <c r="A2259" i="1"/>
  <c r="B2258" i="1"/>
  <c r="A1550" i="1"/>
  <c r="B1541" i="1"/>
  <c r="B1546" i="1"/>
  <c r="B1544" i="1"/>
  <c r="A1539" i="1"/>
  <c r="B1538" i="1"/>
  <c r="A890" i="1"/>
  <c r="B881" i="1"/>
  <c r="A879" i="1"/>
  <c r="B886" i="1"/>
  <c r="B878" i="1"/>
  <c r="B884" i="1"/>
  <c r="B2276" i="1" l="1"/>
  <c r="B2270" i="1"/>
  <c r="B2275" i="1"/>
  <c r="A2271" i="1"/>
  <c r="A2282" i="1"/>
  <c r="B2273" i="1"/>
  <c r="B2278" i="1"/>
  <c r="B1556" i="1"/>
  <c r="B1550" i="1"/>
  <c r="A1562" i="1"/>
  <c r="B1558" i="1"/>
  <c r="B1553" i="1"/>
  <c r="A1551" i="1"/>
  <c r="B898" i="1"/>
  <c r="B890" i="1"/>
  <c r="B896" i="1"/>
  <c r="A902" i="1"/>
  <c r="B893" i="1"/>
  <c r="A891" i="1"/>
  <c r="B2290" i="1" l="1"/>
  <c r="A2283" i="1"/>
  <c r="B2285" i="1"/>
  <c r="B2288" i="1"/>
  <c r="B2282" i="1"/>
  <c r="A2294" i="1"/>
  <c r="B2287" i="1"/>
  <c r="B1570" i="1"/>
  <c r="A1563" i="1"/>
  <c r="B1568" i="1"/>
  <c r="B1562" i="1"/>
  <c r="A1574" i="1"/>
  <c r="B1565" i="1"/>
  <c r="B908" i="1"/>
  <c r="B902" i="1"/>
  <c r="B905" i="1"/>
  <c r="A903" i="1"/>
  <c r="A914" i="1"/>
  <c r="B910" i="1"/>
  <c r="A2306" i="1" l="1"/>
  <c r="B2297" i="1"/>
  <c r="B2302" i="1"/>
  <c r="A2295" i="1"/>
  <c r="B2300" i="1"/>
  <c r="B2294" i="1"/>
  <c r="B2299" i="1"/>
  <c r="A1586" i="1"/>
  <c r="B1577" i="1"/>
  <c r="B1582" i="1"/>
  <c r="A1575" i="1"/>
  <c r="B1574" i="1"/>
  <c r="B1580" i="1"/>
  <c r="B922" i="1"/>
  <c r="A915" i="1"/>
  <c r="B917" i="1"/>
  <c r="A926" i="1"/>
  <c r="B914" i="1"/>
  <c r="B920" i="1"/>
  <c r="B2311" i="1" l="1"/>
  <c r="B2306" i="1"/>
  <c r="A2318" i="1"/>
  <c r="B2309" i="1"/>
  <c r="B2314" i="1"/>
  <c r="A2307" i="1"/>
  <c r="B2312" i="1"/>
  <c r="A1598" i="1"/>
  <c r="B1589" i="1"/>
  <c r="A1587" i="1"/>
  <c r="B1594" i="1"/>
  <c r="B1586" i="1"/>
  <c r="B1592" i="1"/>
  <c r="A938" i="1"/>
  <c r="B929" i="1"/>
  <c r="B934" i="1"/>
  <c r="B926" i="1"/>
  <c r="B932" i="1"/>
  <c r="A927" i="1"/>
  <c r="B2324" i="1" l="1"/>
  <c r="B2318" i="1"/>
  <c r="B2326" i="1"/>
  <c r="B2323" i="1"/>
  <c r="A2319" i="1"/>
  <c r="A2330" i="1"/>
  <c r="B2321" i="1"/>
  <c r="B1604" i="1"/>
  <c r="B1598" i="1"/>
  <c r="B1601" i="1"/>
  <c r="A1599" i="1"/>
  <c r="A1610" i="1"/>
  <c r="B1606" i="1"/>
  <c r="B944" i="1"/>
  <c r="B941" i="1"/>
  <c r="A939" i="1"/>
  <c r="B938" i="1"/>
  <c r="A950" i="1"/>
  <c r="B946" i="1"/>
  <c r="B2338" i="1" l="1"/>
  <c r="A2331" i="1"/>
  <c r="A2342" i="1"/>
  <c r="B2336" i="1"/>
  <c r="B2330" i="1"/>
  <c r="B2335" i="1"/>
  <c r="B2333" i="1"/>
  <c r="B1618" i="1"/>
  <c r="A1611" i="1"/>
  <c r="B1616" i="1"/>
  <c r="B1610" i="1"/>
  <c r="B1613" i="1"/>
  <c r="A1622" i="1"/>
  <c r="B956" i="1"/>
  <c r="B950" i="1"/>
  <c r="B953" i="1"/>
  <c r="A962" i="1"/>
  <c r="A951" i="1"/>
  <c r="B958" i="1"/>
  <c r="A2354" i="1" l="1"/>
  <c r="B2345" i="1"/>
  <c r="B2350" i="1"/>
  <c r="A2343" i="1"/>
  <c r="B2347" i="1"/>
  <c r="B2348" i="1"/>
  <c r="B2342" i="1"/>
  <c r="A1634" i="1"/>
  <c r="B1625" i="1"/>
  <c r="B1630" i="1"/>
  <c r="A1623" i="1"/>
  <c r="B1628" i="1"/>
  <c r="B1622" i="1"/>
  <c r="B970" i="1"/>
  <c r="A963" i="1"/>
  <c r="A974" i="1"/>
  <c r="B962" i="1"/>
  <c r="B968" i="1"/>
  <c r="B965" i="1"/>
  <c r="B2362" i="1" l="1"/>
  <c r="B2359" i="1"/>
  <c r="B2360" i="1"/>
  <c r="B2357" i="1"/>
  <c r="A2366" i="1"/>
  <c r="A2355" i="1"/>
  <c r="B2354" i="1"/>
  <c r="A1646" i="1"/>
  <c r="B1637" i="1"/>
  <c r="B1642" i="1"/>
  <c r="A1635" i="1"/>
  <c r="B1640" i="1"/>
  <c r="B1634" i="1"/>
  <c r="A986" i="1"/>
  <c r="B977" i="1"/>
  <c r="B980" i="1"/>
  <c r="A975" i="1"/>
  <c r="B974" i="1"/>
  <c r="B982" i="1"/>
  <c r="A2378" i="1" l="1"/>
  <c r="B2369" i="1"/>
  <c r="A2367" i="1"/>
  <c r="B2374" i="1"/>
  <c r="B2366" i="1"/>
  <c r="B2372" i="1"/>
  <c r="B2371" i="1"/>
  <c r="B1652" i="1"/>
  <c r="B1646" i="1"/>
  <c r="A1658" i="1"/>
  <c r="B1654" i="1"/>
  <c r="B1649" i="1"/>
  <c r="A1647" i="1"/>
  <c r="B989" i="1"/>
  <c r="A998" i="1"/>
  <c r="A987" i="1"/>
  <c r="B994" i="1"/>
  <c r="B992" i="1"/>
  <c r="B986" i="1"/>
  <c r="B2383" i="1" l="1"/>
  <c r="B2386" i="1"/>
  <c r="B2378" i="1"/>
  <c r="A2390" i="1"/>
  <c r="B2384" i="1"/>
  <c r="A2379" i="1"/>
  <c r="B2381" i="1"/>
  <c r="B1666" i="1"/>
  <c r="A1659" i="1"/>
  <c r="B1664" i="1"/>
  <c r="B1658" i="1"/>
  <c r="A1670" i="1"/>
  <c r="B1661" i="1"/>
  <c r="B1004" i="1"/>
  <c r="B998" i="1"/>
  <c r="A1010" i="1"/>
  <c r="A999" i="1"/>
  <c r="B1006" i="1"/>
  <c r="B1001" i="1"/>
  <c r="B2396" i="1" l="1"/>
  <c r="B2390" i="1"/>
  <c r="B2395" i="1"/>
  <c r="B2398" i="1"/>
  <c r="B2393" i="1"/>
  <c r="A2402" i="1"/>
  <c r="A2391" i="1"/>
  <c r="A1682" i="1"/>
  <c r="B1673" i="1"/>
  <c r="B1678" i="1"/>
  <c r="A1671" i="1"/>
  <c r="B1670" i="1"/>
  <c r="B1676" i="1"/>
  <c r="B1018" i="1"/>
  <c r="A1011" i="1"/>
  <c r="B1016" i="1"/>
  <c r="B1013" i="1"/>
  <c r="B1010" i="1"/>
  <c r="A1022" i="1"/>
  <c r="B2410" i="1" l="1"/>
  <c r="A2403" i="1"/>
  <c r="B2405" i="1"/>
  <c r="A2414" i="1"/>
  <c r="B2402" i="1"/>
  <c r="B2407" i="1"/>
  <c r="B2408" i="1"/>
  <c r="A1694" i="1"/>
  <c r="B1685" i="1"/>
  <c r="A1683" i="1"/>
  <c r="B1690" i="1"/>
  <c r="B1682" i="1"/>
  <c r="B1688" i="1"/>
  <c r="A1034" i="1"/>
  <c r="B1025" i="1"/>
  <c r="A1023" i="1"/>
  <c r="B1030" i="1"/>
  <c r="B1028" i="1"/>
  <c r="B1022" i="1"/>
  <c r="A2426" i="1" l="1"/>
  <c r="B2417" i="1"/>
  <c r="B2422" i="1"/>
  <c r="B2414" i="1"/>
  <c r="B2420" i="1"/>
  <c r="B2419" i="1"/>
  <c r="A2415" i="1"/>
  <c r="B1700" i="1"/>
  <c r="B1694" i="1"/>
  <c r="B1697" i="1"/>
  <c r="A1695" i="1"/>
  <c r="A1706" i="1"/>
  <c r="B1702" i="1"/>
  <c r="A1046" i="1"/>
  <c r="A1035" i="1"/>
  <c r="B1042" i="1"/>
  <c r="B1034" i="1"/>
  <c r="B1040" i="1"/>
  <c r="B1037" i="1"/>
  <c r="B2431" i="1" l="1"/>
  <c r="B2432" i="1"/>
  <c r="B2426" i="1"/>
  <c r="B2429" i="1"/>
  <c r="B2434" i="1"/>
  <c r="A2438" i="1"/>
  <c r="A2427" i="1"/>
  <c r="B1714" i="1"/>
  <c r="A1707" i="1"/>
  <c r="B1712" i="1"/>
  <c r="B1706" i="1"/>
  <c r="B1709" i="1"/>
  <c r="A1718" i="1"/>
  <c r="B1052" i="1"/>
  <c r="B1046" i="1"/>
  <c r="B1054" i="1"/>
  <c r="B1049" i="1"/>
  <c r="A1047" i="1"/>
  <c r="A1058" i="1"/>
  <c r="B2444" i="1" l="1"/>
  <c r="B2438" i="1"/>
  <c r="B2441" i="1"/>
  <c r="B2443" i="1"/>
  <c r="A2450" i="1"/>
  <c r="A2439" i="1"/>
  <c r="B2446" i="1"/>
  <c r="A1730" i="1"/>
  <c r="B1721" i="1"/>
  <c r="B1726" i="1"/>
  <c r="A1719" i="1"/>
  <c r="B1724" i="1"/>
  <c r="B1718" i="1"/>
  <c r="B1066" i="1"/>
  <c r="A1059" i="1"/>
  <c r="B1061" i="1"/>
  <c r="A1070" i="1"/>
  <c r="B1064" i="1"/>
  <c r="B1058" i="1"/>
  <c r="B2458" i="1" l="1"/>
  <c r="A2451" i="1"/>
  <c r="A2462" i="1"/>
  <c r="B2450" i="1"/>
  <c r="B2456" i="1"/>
  <c r="B2453" i="1"/>
  <c r="B2455" i="1"/>
  <c r="A1742" i="1"/>
  <c r="B1733" i="1"/>
  <c r="B1738" i="1"/>
  <c r="B1736" i="1"/>
  <c r="A1731" i="1"/>
  <c r="B1730" i="1"/>
  <c r="A1082" i="1"/>
  <c r="B1073" i="1"/>
  <c r="A1071" i="1"/>
  <c r="B1078" i="1"/>
  <c r="B1070" i="1"/>
  <c r="B1076" i="1"/>
  <c r="A2474" i="1" l="1"/>
  <c r="B2465" i="1"/>
  <c r="B2468" i="1"/>
  <c r="B2462" i="1"/>
  <c r="B2470" i="1"/>
  <c r="B2467" i="1"/>
  <c r="A2463" i="1"/>
  <c r="B1748" i="1"/>
  <c r="B1742" i="1"/>
  <c r="A1754" i="1"/>
  <c r="B1745" i="1"/>
  <c r="B1750" i="1"/>
  <c r="A1743" i="1"/>
  <c r="B1090" i="1"/>
  <c r="B1082" i="1"/>
  <c r="B1088" i="1"/>
  <c r="B1085" i="1"/>
  <c r="A1083" i="1"/>
  <c r="A1094" i="1"/>
  <c r="B2479" i="1" l="1"/>
  <c r="B2482" i="1"/>
  <c r="A2475" i="1"/>
  <c r="B2474" i="1"/>
  <c r="A2486" i="1"/>
  <c r="B2477" i="1"/>
  <c r="B2480" i="1"/>
  <c r="B1762" i="1"/>
  <c r="A1755" i="1"/>
  <c r="B1760" i="1"/>
  <c r="B1754" i="1"/>
  <c r="A1766" i="1"/>
  <c r="B1757" i="1"/>
  <c r="B1100" i="1"/>
  <c r="B1094" i="1"/>
  <c r="B1097" i="1"/>
  <c r="A1106" i="1"/>
  <c r="B1102" i="1"/>
  <c r="A1095" i="1"/>
  <c r="B2492" i="1" l="1"/>
  <c r="B2486" i="1"/>
  <c r="A2498" i="1"/>
  <c r="B2489" i="1"/>
  <c r="A2487" i="1"/>
  <c r="B2491" i="1"/>
  <c r="B2494" i="1"/>
  <c r="A1778" i="1"/>
  <c r="B1769" i="1"/>
  <c r="B1774" i="1"/>
  <c r="A1767" i="1"/>
  <c r="B1766" i="1"/>
  <c r="B1772" i="1"/>
  <c r="B1114" i="1"/>
  <c r="A1107" i="1"/>
  <c r="B1109" i="1"/>
  <c r="A1118" i="1"/>
  <c r="B1106" i="1"/>
  <c r="B1112" i="1"/>
  <c r="B2506" i="1" l="1"/>
  <c r="A2499" i="1"/>
  <c r="B2503" i="1"/>
  <c r="B2501" i="1"/>
  <c r="B2498" i="1"/>
  <c r="A2510" i="1"/>
  <c r="B2504" i="1"/>
  <c r="A1790" i="1"/>
  <c r="B1781" i="1"/>
  <c r="A1779" i="1"/>
  <c r="B1778" i="1"/>
  <c r="B1786" i="1"/>
  <c r="B1784" i="1"/>
  <c r="A1130" i="1"/>
  <c r="B1121" i="1"/>
  <c r="B1126" i="1"/>
  <c r="B1118" i="1"/>
  <c r="B1124" i="1"/>
  <c r="A1119" i="1"/>
  <c r="A2522" i="1" l="1"/>
  <c r="B2513" i="1"/>
  <c r="B2516" i="1"/>
  <c r="B2510" i="1"/>
  <c r="B2515" i="1"/>
  <c r="A2511" i="1"/>
  <c r="B2518" i="1"/>
  <c r="B1796" i="1"/>
  <c r="B1790" i="1"/>
  <c r="B1793" i="1"/>
  <c r="A1791" i="1"/>
  <c r="A1802" i="1"/>
  <c r="B1798" i="1"/>
  <c r="B1136" i="1"/>
  <c r="B1133" i="1"/>
  <c r="A1142" i="1"/>
  <c r="B1138" i="1"/>
  <c r="A1131" i="1"/>
  <c r="B1130" i="1"/>
  <c r="B2527" i="1" l="1"/>
  <c r="B2530" i="1"/>
  <c r="A2523" i="1"/>
  <c r="B2528" i="1"/>
  <c r="B2525" i="1"/>
  <c r="B2522" i="1"/>
  <c r="A2534" i="1"/>
  <c r="B1810" i="1"/>
  <c r="A1803" i="1"/>
  <c r="B1808" i="1"/>
  <c r="B1802" i="1"/>
  <c r="B1805" i="1"/>
  <c r="A1814" i="1"/>
  <c r="B1148" i="1"/>
  <c r="B1142" i="1"/>
  <c r="B1145" i="1"/>
  <c r="A1154" i="1"/>
  <c r="A1143" i="1"/>
  <c r="B1150" i="1"/>
  <c r="B2540" i="1" l="1"/>
  <c r="B2534" i="1"/>
  <c r="A2546" i="1"/>
  <c r="B2537" i="1"/>
  <c r="B2542" i="1"/>
  <c r="B2539" i="1"/>
  <c r="A2535" i="1"/>
  <c r="A1826" i="1"/>
  <c r="B1817" i="1"/>
  <c r="B1822" i="1"/>
  <c r="A1815" i="1"/>
  <c r="B1820" i="1"/>
  <c r="B1814" i="1"/>
  <c r="B1162" i="1"/>
  <c r="A1155" i="1"/>
  <c r="A1166" i="1"/>
  <c r="B1154" i="1"/>
  <c r="B1160" i="1"/>
  <c r="B1157" i="1"/>
  <c r="B2554" i="1" l="1"/>
  <c r="A2547" i="1"/>
  <c r="B2551" i="1"/>
  <c r="A2558" i="1"/>
  <c r="B2552" i="1"/>
  <c r="B2546" i="1"/>
  <c r="B2549" i="1"/>
  <c r="A1838" i="1"/>
  <c r="B1829" i="1"/>
  <c r="B1834" i="1"/>
  <c r="A1827" i="1"/>
  <c r="B1832" i="1"/>
  <c r="B1826" i="1"/>
  <c r="A1178" i="1"/>
  <c r="B1169" i="1"/>
  <c r="B1172" i="1"/>
  <c r="B1174" i="1"/>
  <c r="A1167" i="1"/>
  <c r="B1166" i="1"/>
  <c r="A2570" i="1" l="1"/>
  <c r="B2561" i="1"/>
  <c r="B2564" i="1"/>
  <c r="B2558" i="1"/>
  <c r="A2559" i="1"/>
  <c r="B2566" i="1"/>
  <c r="B2563" i="1"/>
  <c r="B1844" i="1"/>
  <c r="B1838" i="1"/>
  <c r="A1850" i="1"/>
  <c r="B1846" i="1"/>
  <c r="B1841" i="1"/>
  <c r="A1839" i="1"/>
  <c r="B1181" i="1"/>
  <c r="A1190" i="1"/>
  <c r="A1179" i="1"/>
  <c r="B1178" i="1"/>
  <c r="B1186" i="1"/>
  <c r="B1184" i="1"/>
  <c r="B2575" i="1" l="1"/>
  <c r="B2578" i="1"/>
  <c r="A2571" i="1"/>
  <c r="B2570" i="1"/>
  <c r="A2582" i="1"/>
  <c r="B2576" i="1"/>
  <c r="B2573" i="1"/>
  <c r="B1858" i="1"/>
  <c r="A1851" i="1"/>
  <c r="B1856" i="1"/>
  <c r="B1850" i="1"/>
  <c r="A1862" i="1"/>
  <c r="B1853" i="1"/>
  <c r="B1196" i="1"/>
  <c r="B1190" i="1"/>
  <c r="A1202" i="1"/>
  <c r="A1191" i="1"/>
  <c r="B1198" i="1"/>
  <c r="B1193" i="1"/>
  <c r="B2588" i="1" l="1"/>
  <c r="B2582" i="1"/>
  <c r="A2594" i="1"/>
  <c r="B2585" i="1"/>
  <c r="A2583" i="1"/>
  <c r="B2587" i="1"/>
  <c r="B2590" i="1"/>
  <c r="A1874" i="1"/>
  <c r="B1865" i="1"/>
  <c r="B1870" i="1"/>
  <c r="A1863" i="1"/>
  <c r="B1862" i="1"/>
  <c r="B1868" i="1"/>
  <c r="B1210" i="1"/>
  <c r="A1203" i="1"/>
  <c r="B1208" i="1"/>
  <c r="A1214" i="1"/>
  <c r="B1205" i="1"/>
  <c r="B1202" i="1"/>
  <c r="B2602" i="1" l="1"/>
  <c r="A2595" i="1"/>
  <c r="B2599" i="1"/>
  <c r="B2597" i="1"/>
  <c r="B2600" i="1"/>
  <c r="B2594" i="1"/>
  <c r="A2606" i="1"/>
  <c r="A1886" i="1"/>
  <c r="B1877" i="1"/>
  <c r="A1875" i="1"/>
  <c r="B1882" i="1"/>
  <c r="B1874" i="1"/>
  <c r="B1880" i="1"/>
  <c r="A1226" i="1"/>
  <c r="B1217" i="1"/>
  <c r="A1215" i="1"/>
  <c r="B1214" i="1"/>
  <c r="B1222" i="1"/>
  <c r="B1220" i="1"/>
  <c r="A2618" i="1" l="1"/>
  <c r="B2609" i="1"/>
  <c r="B2612" i="1"/>
  <c r="B2606" i="1"/>
  <c r="B2611" i="1"/>
  <c r="A2607" i="1"/>
  <c r="B2614" i="1"/>
  <c r="B1892" i="1"/>
  <c r="B1886" i="1"/>
  <c r="B1889" i="1"/>
  <c r="A1887" i="1"/>
  <c r="A1898" i="1"/>
  <c r="B1894" i="1"/>
  <c r="A1238" i="1"/>
  <c r="A1227" i="1"/>
  <c r="B1234" i="1"/>
  <c r="B1226" i="1"/>
  <c r="B1232" i="1"/>
  <c r="B1229" i="1"/>
  <c r="B2623" i="1" l="1"/>
  <c r="B2626" i="1"/>
  <c r="A2619" i="1"/>
  <c r="B2624" i="1"/>
  <c r="A2630" i="1"/>
  <c r="B2621" i="1"/>
  <c r="B2618" i="1"/>
  <c r="B1906" i="1"/>
  <c r="A1899" i="1"/>
  <c r="B1904" i="1"/>
  <c r="B1898" i="1"/>
  <c r="B1901" i="1"/>
  <c r="A1910" i="1"/>
  <c r="B1244" i="1"/>
  <c r="B1238" i="1"/>
  <c r="B1246" i="1"/>
  <c r="A1250" i="1"/>
  <c r="B1241" i="1"/>
  <c r="A1239" i="1"/>
  <c r="B2636" i="1" l="1"/>
  <c r="B2630" i="1"/>
  <c r="A2642" i="1"/>
  <c r="B2633" i="1"/>
  <c r="B2638" i="1"/>
  <c r="B2635" i="1"/>
  <c r="A2631" i="1"/>
  <c r="A1922" i="1"/>
  <c r="B1913" i="1"/>
  <c r="B1918" i="1"/>
  <c r="A1911" i="1"/>
  <c r="B1916" i="1"/>
  <c r="B1910" i="1"/>
  <c r="B1258" i="1"/>
  <c r="A1251" i="1"/>
  <c r="B1253" i="1"/>
  <c r="B1250" i="1"/>
  <c r="A1262" i="1"/>
  <c r="B1256" i="1"/>
  <c r="B2650" i="1" l="1"/>
  <c r="A2643" i="1"/>
  <c r="B2647" i="1"/>
  <c r="A2654" i="1"/>
  <c r="B2648" i="1"/>
  <c r="B2645" i="1"/>
  <c r="B2642" i="1"/>
  <c r="A1934" i="1"/>
  <c r="B1925" i="1"/>
  <c r="B1930" i="1"/>
  <c r="A1923" i="1"/>
  <c r="B1928" i="1"/>
  <c r="B1922" i="1"/>
  <c r="A1274" i="1"/>
  <c r="B1265" i="1"/>
  <c r="A1263" i="1"/>
  <c r="B1270" i="1"/>
  <c r="B1262" i="1"/>
  <c r="B1268" i="1"/>
  <c r="A2666" i="1" l="1"/>
  <c r="B2657" i="1"/>
  <c r="B2660" i="1"/>
  <c r="B2654" i="1"/>
  <c r="B2662" i="1"/>
  <c r="A2655" i="1"/>
  <c r="B2659" i="1"/>
  <c r="B1940" i="1"/>
  <c r="B1934" i="1"/>
  <c r="A1946" i="1"/>
  <c r="B1942" i="1"/>
  <c r="B1937" i="1"/>
  <c r="A1935" i="1"/>
  <c r="B1282" i="1"/>
  <c r="B1274" i="1"/>
  <c r="B1280" i="1"/>
  <c r="A1286" i="1"/>
  <c r="B1277" i="1"/>
  <c r="A1275" i="1"/>
  <c r="B2671" i="1" l="1"/>
  <c r="B2674" i="1"/>
  <c r="A2667" i="1"/>
  <c r="B2666" i="1"/>
  <c r="B2669" i="1"/>
  <c r="A2678" i="1"/>
  <c r="B2672" i="1"/>
  <c r="B1954" i="1"/>
  <c r="A1947" i="1"/>
  <c r="B1952" i="1"/>
  <c r="B1946" i="1"/>
  <c r="A1958" i="1"/>
  <c r="B1949" i="1"/>
  <c r="B1292" i="1"/>
  <c r="B1286" i="1"/>
  <c r="B1289" i="1"/>
  <c r="A1298" i="1"/>
  <c r="A1287" i="1"/>
  <c r="B1294" i="1"/>
  <c r="B2684" i="1" l="1"/>
  <c r="B2678" i="1"/>
  <c r="A2690" i="1"/>
  <c r="B2681" i="1"/>
  <c r="A2679" i="1"/>
  <c r="B2686" i="1"/>
  <c r="B2683" i="1"/>
  <c r="A1970" i="1"/>
  <c r="B1961" i="1"/>
  <c r="B1966" i="1"/>
  <c r="A1959" i="1"/>
  <c r="B1958" i="1"/>
  <c r="B1964" i="1"/>
  <c r="B1306" i="1"/>
  <c r="A1299" i="1"/>
  <c r="B1301" i="1"/>
  <c r="A1310" i="1"/>
  <c r="B1298" i="1"/>
  <c r="B1304" i="1"/>
  <c r="B2698" i="1" l="1"/>
  <c r="A2691" i="1"/>
  <c r="B2695" i="1"/>
  <c r="B2693" i="1"/>
  <c r="B2690" i="1"/>
  <c r="B2696" i="1"/>
  <c r="A2702" i="1"/>
  <c r="A1982" i="1"/>
  <c r="B1973" i="1"/>
  <c r="A1971" i="1"/>
  <c r="B1970" i="1"/>
  <c r="B1978" i="1"/>
  <c r="B1976" i="1"/>
  <c r="A1322" i="1"/>
  <c r="B1313" i="1"/>
  <c r="B1318" i="1"/>
  <c r="B1310" i="1"/>
  <c r="B1316" i="1"/>
  <c r="A1311" i="1"/>
  <c r="A2714" i="1" l="1"/>
  <c r="B2705" i="1"/>
  <c r="B2708" i="1"/>
  <c r="B2702" i="1"/>
  <c r="B2707" i="1"/>
  <c r="B2710" i="1"/>
  <c r="A2703" i="1"/>
  <c r="B1988" i="1"/>
  <c r="B1982" i="1"/>
  <c r="B1985" i="1"/>
  <c r="A1983" i="1"/>
  <c r="A1994" i="1"/>
  <c r="B1990" i="1"/>
  <c r="B1328" i="1"/>
  <c r="B1325" i="1"/>
  <c r="A1334" i="1"/>
  <c r="A1323" i="1"/>
  <c r="B1322" i="1"/>
  <c r="B1330" i="1"/>
  <c r="B2719" i="1" l="1"/>
  <c r="B2722" i="1"/>
  <c r="A2715" i="1"/>
  <c r="B2720" i="1"/>
  <c r="B2717" i="1"/>
  <c r="B2714" i="1"/>
  <c r="A2726" i="1"/>
  <c r="B2002" i="1"/>
  <c r="A1995" i="1"/>
  <c r="B2000" i="1"/>
  <c r="B1994" i="1"/>
  <c r="B1997" i="1"/>
  <c r="A2006" i="1"/>
  <c r="B1340" i="1"/>
  <c r="B1334" i="1"/>
  <c r="B1337" i="1"/>
  <c r="A1346" i="1"/>
  <c r="A1335" i="1"/>
  <c r="B1342" i="1"/>
  <c r="B2732" i="1" l="1"/>
  <c r="B2726" i="1"/>
  <c r="A2738" i="1"/>
  <c r="B2729" i="1"/>
  <c r="B2734" i="1"/>
  <c r="B2731" i="1"/>
  <c r="A2727" i="1"/>
  <c r="A2018" i="1"/>
  <c r="B2009" i="1"/>
  <c r="B2014" i="1"/>
  <c r="A2007" i="1"/>
  <c r="B2012" i="1"/>
  <c r="B2006" i="1"/>
  <c r="B1354" i="1"/>
  <c r="A1347" i="1"/>
  <c r="A1358" i="1"/>
  <c r="B1346" i="1"/>
  <c r="B1352" i="1"/>
  <c r="B1349" i="1"/>
  <c r="B2746" i="1" l="1"/>
  <c r="A2739" i="1"/>
  <c r="B2744" i="1"/>
  <c r="B2738" i="1"/>
  <c r="B2743" i="1"/>
  <c r="B2741" i="1"/>
  <c r="A2750" i="1"/>
  <c r="A2030" i="1"/>
  <c r="B2021" i="1"/>
  <c r="B2026" i="1"/>
  <c r="A2019" i="1"/>
  <c r="B2024" i="1"/>
  <c r="B2018" i="1"/>
  <c r="A1370" i="1"/>
  <c r="B1361" i="1"/>
  <c r="B1364" i="1"/>
  <c r="A1359" i="1"/>
  <c r="B1358" i="1"/>
  <c r="B1366" i="1"/>
  <c r="A2762" i="1" l="1"/>
  <c r="B2753" i="1"/>
  <c r="B2758" i="1"/>
  <c r="A2751" i="1"/>
  <c r="B2756" i="1"/>
  <c r="B2750" i="1"/>
  <c r="B2755" i="1"/>
  <c r="B2036" i="1"/>
  <c r="B2030" i="1"/>
  <c r="A2042" i="1"/>
  <c r="B2038" i="1"/>
  <c r="B2033" i="1"/>
  <c r="A2031" i="1"/>
  <c r="B1373" i="1"/>
  <c r="A1382" i="1"/>
  <c r="A1371" i="1"/>
  <c r="B1378" i="1"/>
  <c r="B1370" i="1"/>
  <c r="B1376" i="1"/>
  <c r="B2767" i="1" l="1"/>
  <c r="A2774" i="1"/>
  <c r="B2765" i="1"/>
  <c r="B2770" i="1"/>
  <c r="A2763" i="1"/>
  <c r="B2762" i="1"/>
  <c r="B2768" i="1"/>
  <c r="B2050" i="1"/>
  <c r="A2043" i="1"/>
  <c r="B2048" i="1"/>
  <c r="B2042" i="1"/>
  <c r="A2054" i="1"/>
  <c r="B2045" i="1"/>
  <c r="B1388" i="1"/>
  <c r="B1382" i="1"/>
  <c r="A1394" i="1"/>
  <c r="A1383" i="1"/>
  <c r="B1390" i="1"/>
  <c r="B1385" i="1"/>
  <c r="B2780" i="1" l="1"/>
  <c r="B2774" i="1"/>
  <c r="B2779" i="1"/>
  <c r="A2786" i="1"/>
  <c r="B2777" i="1"/>
  <c r="B2782" i="1"/>
  <c r="A2775" i="1"/>
  <c r="A2066" i="1"/>
  <c r="B2057" i="1"/>
  <c r="B2062" i="1"/>
  <c r="A2055" i="1"/>
  <c r="B2054" i="1"/>
  <c r="B2060" i="1"/>
  <c r="B1402" i="1"/>
  <c r="A1395" i="1"/>
  <c r="B1400" i="1"/>
  <c r="B1397" i="1"/>
  <c r="B1394" i="1"/>
  <c r="B2794" i="1" l="1"/>
  <c r="A2787" i="1"/>
  <c r="B2792" i="1"/>
  <c r="B2786" i="1"/>
  <c r="B2791" i="1"/>
  <c r="B2789" i="1"/>
  <c r="A2798" i="1"/>
  <c r="A2078" i="1"/>
  <c r="B2069" i="1"/>
  <c r="A2067" i="1"/>
  <c r="B2074" i="1"/>
  <c r="B2066" i="1"/>
  <c r="B2072" i="1"/>
  <c r="A2810" i="1" l="1"/>
  <c r="B2801" i="1"/>
  <c r="B2806" i="1"/>
  <c r="A2799" i="1"/>
  <c r="B2804" i="1"/>
  <c r="B2798" i="1"/>
  <c r="B2803" i="1"/>
  <c r="B2084" i="1"/>
  <c r="B2078" i="1"/>
  <c r="B2081" i="1"/>
  <c r="A2079" i="1"/>
  <c r="A2090" i="1"/>
  <c r="B2086" i="1"/>
  <c r="B2815" i="1" l="1"/>
  <c r="A2822" i="1"/>
  <c r="B2813" i="1"/>
  <c r="B2818" i="1"/>
  <c r="A2811" i="1"/>
  <c r="B2816" i="1"/>
  <c r="B2810" i="1"/>
  <c r="B2098" i="1"/>
  <c r="A2091" i="1"/>
  <c r="B2096" i="1"/>
  <c r="B2090" i="1"/>
  <c r="B2093" i="1"/>
  <c r="B2828" i="1" l="1"/>
  <c r="B2822" i="1"/>
  <c r="B2827" i="1"/>
  <c r="A2834" i="1"/>
  <c r="B2825" i="1"/>
  <c r="A2823" i="1"/>
  <c r="B2830" i="1"/>
  <c r="B2842" i="1" l="1"/>
  <c r="A2835" i="1"/>
  <c r="B2840" i="1"/>
  <c r="B2834" i="1"/>
  <c r="B2839" i="1"/>
  <c r="A2846" i="1"/>
  <c r="B2837" i="1"/>
  <c r="A2858" i="1" l="1"/>
  <c r="B2849" i="1"/>
  <c r="B2854" i="1"/>
  <c r="A2847" i="1"/>
  <c r="B2852" i="1"/>
  <c r="B2846" i="1"/>
  <c r="B2851" i="1"/>
  <c r="B2863" i="1" l="1"/>
  <c r="A2870" i="1"/>
  <c r="B2861" i="1"/>
  <c r="B2866" i="1"/>
  <c r="A2859" i="1"/>
  <c r="B2864" i="1"/>
  <c r="B2858" i="1"/>
  <c r="B2876" i="1" l="1"/>
  <c r="B2870" i="1"/>
  <c r="B2875" i="1"/>
  <c r="A2882" i="1"/>
  <c r="B2873" i="1"/>
  <c r="A2871" i="1"/>
  <c r="B2878" i="1"/>
  <c r="B2890" i="1" l="1"/>
  <c r="A2883" i="1"/>
  <c r="B2888" i="1"/>
  <c r="B2882" i="1"/>
  <c r="B2887" i="1"/>
  <c r="B2885" i="1"/>
  <c r="A2894" i="1"/>
  <c r="A2906" i="1" l="1"/>
  <c r="B2897" i="1"/>
  <c r="B2902" i="1"/>
  <c r="A2895" i="1"/>
  <c r="B2900" i="1"/>
  <c r="B2899" i="1"/>
  <c r="B2894" i="1"/>
  <c r="B2911" i="1" l="1"/>
  <c r="A2918" i="1"/>
  <c r="B2909" i="1"/>
  <c r="B2914" i="1"/>
  <c r="B2912" i="1"/>
  <c r="A2907" i="1"/>
  <c r="B2906" i="1"/>
  <c r="B2924" i="1" l="1"/>
  <c r="B2918" i="1"/>
  <c r="B2923" i="1"/>
  <c r="A2930" i="1"/>
  <c r="B2926" i="1"/>
  <c r="B2921" i="1"/>
  <c r="A2919" i="1"/>
  <c r="B2938" i="1" l="1"/>
  <c r="A2931" i="1"/>
  <c r="B2936" i="1"/>
  <c r="B2930" i="1"/>
  <c r="A2942" i="1"/>
  <c r="B2935" i="1"/>
  <c r="B2933" i="1"/>
  <c r="A2954" i="1" l="1"/>
  <c r="B2945" i="1"/>
  <c r="B2950" i="1"/>
  <c r="A2943" i="1"/>
  <c r="B2942" i="1"/>
  <c r="B2948" i="1"/>
  <c r="B2947" i="1"/>
  <c r="B2959" i="1" l="1"/>
  <c r="A2966" i="1"/>
  <c r="B2957" i="1"/>
  <c r="B2962" i="1"/>
  <c r="A2955" i="1"/>
  <c r="B2960" i="1"/>
  <c r="B2954" i="1"/>
  <c r="B2972" i="1" l="1"/>
  <c r="B2966" i="1"/>
  <c r="B2971" i="1"/>
  <c r="A2978" i="1"/>
  <c r="B2969" i="1"/>
  <c r="B2974" i="1"/>
  <c r="A2967" i="1"/>
  <c r="B2986" i="1" l="1"/>
  <c r="A2979" i="1"/>
  <c r="B2984" i="1"/>
  <c r="B2978" i="1"/>
  <c r="B2983" i="1"/>
  <c r="A2990" i="1"/>
  <c r="B2981" i="1"/>
  <c r="A3002" i="1" l="1"/>
  <c r="B2993" i="1"/>
  <c r="B2998" i="1"/>
  <c r="A2991" i="1"/>
  <c r="B2996" i="1"/>
  <c r="B2990" i="1"/>
  <c r="B2995" i="1"/>
  <c r="B3007" i="1" l="1"/>
  <c r="A3014" i="1"/>
  <c r="B3005" i="1"/>
  <c r="B3010" i="1"/>
  <c r="A3003" i="1"/>
  <c r="B3008" i="1"/>
  <c r="B3002" i="1"/>
  <c r="B3020" i="1" l="1"/>
  <c r="B3014" i="1"/>
  <c r="B3019" i="1"/>
  <c r="A3026" i="1"/>
  <c r="B3017" i="1"/>
  <c r="A3015" i="1"/>
  <c r="B3022" i="1"/>
  <c r="B3034" i="1" l="1"/>
  <c r="A3027" i="1"/>
  <c r="B3032" i="1"/>
  <c r="B3026" i="1"/>
  <c r="B3031" i="1"/>
  <c r="A3038" i="1"/>
  <c r="B3029" i="1"/>
  <c r="A3050" i="1" l="1"/>
  <c r="B3041" i="1"/>
  <c r="B3046" i="1"/>
  <c r="A3039" i="1"/>
  <c r="B3044" i="1"/>
  <c r="B3038" i="1"/>
  <c r="B3043" i="1"/>
  <c r="B3055" i="1" l="1"/>
  <c r="A3062" i="1"/>
  <c r="B3053" i="1"/>
  <c r="B3058" i="1"/>
  <c r="A3051" i="1"/>
  <c r="B3056" i="1"/>
  <c r="B3050" i="1"/>
  <c r="B3068" i="1" l="1"/>
  <c r="B3062" i="1"/>
  <c r="B3067" i="1"/>
  <c r="A3074" i="1"/>
  <c r="B3065" i="1"/>
  <c r="B3070" i="1"/>
  <c r="A3063" i="1"/>
  <c r="B3082" i="1" l="1"/>
  <c r="A3075" i="1"/>
  <c r="B3080" i="1"/>
  <c r="B3074" i="1"/>
  <c r="B3079" i="1"/>
  <c r="A3086" i="1"/>
  <c r="B3077" i="1"/>
  <c r="A3098" i="1" l="1"/>
  <c r="B3089" i="1"/>
  <c r="B3094" i="1"/>
  <c r="A3087" i="1"/>
  <c r="B3092" i="1"/>
  <c r="B3086" i="1"/>
  <c r="B3091" i="1"/>
  <c r="B3103" i="1" l="1"/>
  <c r="A3110" i="1"/>
  <c r="B3101" i="1"/>
  <c r="B3106" i="1"/>
  <c r="A3099" i="1"/>
  <c r="B3098" i="1"/>
  <c r="B3104" i="1"/>
  <c r="B3116" i="1" l="1"/>
  <c r="B3110" i="1"/>
  <c r="B3115" i="1"/>
  <c r="A3122" i="1"/>
  <c r="B3113" i="1"/>
  <c r="B3118" i="1"/>
  <c r="A3111" i="1"/>
  <c r="B3130" i="1" l="1"/>
  <c r="A3123" i="1"/>
  <c r="B3128" i="1"/>
  <c r="B3122" i="1"/>
  <c r="B3127" i="1"/>
  <c r="B3125" i="1"/>
  <c r="A3134" i="1"/>
  <c r="A3146" i="1" l="1"/>
  <c r="B3137" i="1"/>
  <c r="B3142" i="1"/>
  <c r="A3135" i="1"/>
  <c r="B3140" i="1"/>
  <c r="B3134" i="1"/>
  <c r="B3139" i="1"/>
  <c r="B3151" i="1" l="1"/>
  <c r="A3158" i="1"/>
  <c r="B3149" i="1"/>
  <c r="B3154" i="1"/>
  <c r="A3147" i="1"/>
  <c r="B3152" i="1"/>
  <c r="B3146" i="1"/>
  <c r="B3164" i="1" l="1"/>
  <c r="B3158" i="1"/>
  <c r="B3163" i="1"/>
  <c r="A3170" i="1"/>
  <c r="B3161" i="1"/>
  <c r="B3166" i="1"/>
  <c r="A3159" i="1"/>
  <c r="B3178" i="1" l="1"/>
  <c r="A3171" i="1"/>
  <c r="B3176" i="1"/>
  <c r="B3170" i="1"/>
  <c r="B3175" i="1"/>
  <c r="A3182" i="1"/>
  <c r="B3173" i="1"/>
  <c r="A3194" i="1" l="1"/>
  <c r="B3185" i="1"/>
  <c r="B3190" i="1"/>
  <c r="A3183" i="1"/>
  <c r="B3188" i="1"/>
  <c r="B3182" i="1"/>
  <c r="B3187" i="1"/>
  <c r="B3199" i="1" l="1"/>
  <c r="A3206" i="1"/>
  <c r="B3197" i="1"/>
  <c r="B3202" i="1"/>
  <c r="A3195" i="1"/>
  <c r="B3200" i="1"/>
  <c r="B3194" i="1"/>
  <c r="B3212" i="1" l="1"/>
  <c r="B3206" i="1"/>
  <c r="B3211" i="1"/>
  <c r="A3218" i="1"/>
  <c r="B3209" i="1"/>
  <c r="A3207" i="1"/>
  <c r="B3214" i="1"/>
  <c r="B3226" i="1" l="1"/>
  <c r="A3219" i="1"/>
  <c r="B3224" i="1"/>
  <c r="B3218" i="1"/>
  <c r="B3223" i="1"/>
  <c r="A3230" i="1"/>
  <c r="B3221" i="1"/>
  <c r="A3242" i="1" l="1"/>
  <c r="B3233" i="1"/>
  <c r="B3238" i="1"/>
  <c r="A3231" i="1"/>
  <c r="B3236" i="1"/>
  <c r="B3230" i="1"/>
  <c r="B3235" i="1"/>
  <c r="B3247" i="1" l="1"/>
  <c r="A3254" i="1"/>
  <c r="B3245" i="1"/>
  <c r="B3250" i="1"/>
  <c r="A3243" i="1"/>
  <c r="B3248" i="1"/>
  <c r="B3242" i="1"/>
  <c r="B3260" i="1" l="1"/>
  <c r="B3254" i="1"/>
  <c r="B3259" i="1"/>
  <c r="A3266" i="1"/>
  <c r="B3257" i="1"/>
  <c r="B3262" i="1"/>
  <c r="A3255" i="1"/>
  <c r="B3274" i="1" l="1"/>
  <c r="A3267" i="1"/>
  <c r="B3272" i="1"/>
  <c r="B3266" i="1"/>
  <c r="B3271" i="1"/>
  <c r="A3278" i="1"/>
  <c r="B3269" i="1"/>
  <c r="A3290" i="1" l="1"/>
  <c r="B3281" i="1"/>
  <c r="B3286" i="1"/>
  <c r="A3279" i="1"/>
  <c r="B3284" i="1"/>
  <c r="B3278" i="1"/>
  <c r="B3283" i="1"/>
  <c r="B3295" i="1" l="1"/>
  <c r="A3302" i="1"/>
  <c r="B3293" i="1"/>
  <c r="B3298" i="1"/>
  <c r="A3291" i="1"/>
  <c r="B3290" i="1"/>
  <c r="B3296" i="1"/>
  <c r="B3308" i="1" l="1"/>
  <c r="B3302" i="1"/>
  <c r="B3307" i="1"/>
  <c r="A3314" i="1"/>
  <c r="B3305" i="1"/>
  <c r="B3310" i="1"/>
  <c r="A3303" i="1"/>
  <c r="B3319" i="1" l="1"/>
  <c r="A3326" i="1"/>
  <c r="B3322" i="1"/>
  <c r="A3315" i="1"/>
  <c r="B3317" i="1"/>
  <c r="B3314" i="1"/>
  <c r="B3320" i="1"/>
  <c r="B3332" i="1" l="1"/>
  <c r="B3326" i="1"/>
  <c r="B3331" i="1"/>
  <c r="A3338" i="1"/>
  <c r="B3329" i="1"/>
  <c r="B3334" i="1"/>
  <c r="A3327" i="1"/>
  <c r="B3346" i="1" l="1"/>
  <c r="A3339" i="1"/>
  <c r="B3344" i="1"/>
  <c r="B3338" i="1"/>
  <c r="B3343" i="1"/>
  <c r="B3341" i="1"/>
  <c r="A3350" i="1"/>
  <c r="A3362" i="1" l="1"/>
  <c r="B3353" i="1"/>
  <c r="B3358" i="1"/>
  <c r="A3351" i="1"/>
  <c r="B3356" i="1"/>
  <c r="B3350" i="1"/>
  <c r="B3355" i="1"/>
  <c r="B3367" i="1" l="1"/>
  <c r="A3374" i="1"/>
  <c r="B3365" i="1"/>
  <c r="B3370" i="1"/>
  <c r="A3363" i="1"/>
  <c r="B3368" i="1"/>
  <c r="B3362" i="1"/>
  <c r="B3380" i="1" l="1"/>
  <c r="B3374" i="1"/>
  <c r="B3379" i="1"/>
  <c r="A3386" i="1"/>
  <c r="B3377" i="1"/>
  <c r="B3382" i="1"/>
  <c r="A3375" i="1"/>
  <c r="B3394" i="1" l="1"/>
  <c r="A3387" i="1"/>
  <c r="B3392" i="1"/>
  <c r="B3386" i="1"/>
  <c r="B3391" i="1"/>
  <c r="A3398" i="1"/>
  <c r="B3389" i="1"/>
  <c r="A3410" i="1" l="1"/>
  <c r="B3401" i="1"/>
  <c r="B3406" i="1"/>
  <c r="A3399" i="1"/>
  <c r="B3404" i="1"/>
  <c r="B3398" i="1"/>
  <c r="B3403" i="1"/>
  <c r="B3415" i="1" l="1"/>
  <c r="A3422" i="1"/>
  <c r="B3413" i="1"/>
  <c r="B3418" i="1"/>
  <c r="A3411" i="1"/>
  <c r="B3416" i="1"/>
  <c r="B3410" i="1"/>
  <c r="B3428" i="1" l="1"/>
  <c r="B3422" i="1"/>
  <c r="B3427" i="1"/>
  <c r="A3434" i="1"/>
  <c r="B3425" i="1"/>
  <c r="A3423" i="1"/>
  <c r="B3430" i="1"/>
  <c r="B3442" i="1" l="1"/>
  <c r="A3435" i="1"/>
  <c r="B3440" i="1"/>
  <c r="B3434" i="1"/>
  <c r="B3439" i="1"/>
  <c r="A3446" i="1"/>
  <c r="B3437" i="1"/>
  <c r="A3458" i="1" l="1"/>
  <c r="B3449" i="1"/>
  <c r="B3454" i="1"/>
  <c r="A3447" i="1"/>
  <c r="B3452" i="1"/>
  <c r="B3446" i="1"/>
  <c r="B3451" i="1"/>
  <c r="B3463" i="1" l="1"/>
  <c r="A3470" i="1"/>
  <c r="B3461" i="1"/>
  <c r="B3466" i="1"/>
  <c r="A3459" i="1"/>
  <c r="B3464" i="1"/>
  <c r="B3458" i="1"/>
  <c r="B3476" i="1" l="1"/>
  <c r="B3470" i="1"/>
  <c r="B3475" i="1"/>
  <c r="A3482" i="1"/>
  <c r="B3473" i="1"/>
  <c r="B3478" i="1"/>
  <c r="A3471" i="1"/>
  <c r="B3490" i="1" l="1"/>
  <c r="A3483" i="1"/>
  <c r="B3488" i="1"/>
  <c r="B3482" i="1"/>
  <c r="B3487" i="1"/>
  <c r="A3494" i="1"/>
  <c r="B3485" i="1"/>
  <c r="A3506" i="1" l="1"/>
  <c r="B3497" i="1"/>
  <c r="B3502" i="1"/>
  <c r="A3495" i="1"/>
  <c r="B3500" i="1"/>
  <c r="B3494" i="1"/>
  <c r="B3499" i="1"/>
  <c r="B3511" i="1" l="1"/>
  <c r="A3518" i="1"/>
  <c r="B3509" i="1"/>
  <c r="B3514" i="1"/>
  <c r="A3507" i="1"/>
  <c r="B3506" i="1"/>
  <c r="B3512" i="1"/>
  <c r="B3524" i="1" l="1"/>
  <c r="B3518" i="1"/>
  <c r="B3523" i="1"/>
  <c r="A3530" i="1"/>
  <c r="B3521" i="1"/>
  <c r="B3526" i="1"/>
  <c r="A3519" i="1"/>
  <c r="B3538" i="1" l="1"/>
  <c r="A3531" i="1"/>
  <c r="B3536" i="1"/>
  <c r="B3530" i="1"/>
  <c r="B3535" i="1"/>
  <c r="B3533" i="1"/>
  <c r="A3542" i="1"/>
  <c r="A3554" i="1" l="1"/>
  <c r="B3545" i="1"/>
  <c r="B3550" i="1"/>
  <c r="A3543" i="1"/>
  <c r="B3548" i="1"/>
  <c r="B3542" i="1"/>
  <c r="B3547" i="1"/>
  <c r="B3559" i="1" l="1"/>
  <c r="A3566" i="1"/>
  <c r="B3557" i="1"/>
  <c r="B3562" i="1"/>
  <c r="A3555" i="1"/>
  <c r="B3560" i="1"/>
  <c r="B3554" i="1"/>
  <c r="B3572" i="1" l="1"/>
  <c r="B3566" i="1"/>
  <c r="B3571" i="1"/>
  <c r="A3578" i="1"/>
  <c r="B3569" i="1"/>
  <c r="B3574" i="1"/>
  <c r="A3567" i="1"/>
  <c r="B3586" i="1" l="1"/>
  <c r="A3579" i="1"/>
  <c r="B3584" i="1"/>
  <c r="B3578" i="1"/>
  <c r="B3583" i="1"/>
  <c r="A3590" i="1"/>
  <c r="B3581" i="1"/>
  <c r="A3602" i="1" l="1"/>
  <c r="B3593" i="1"/>
  <c r="B3598" i="1"/>
  <c r="A3591" i="1"/>
  <c r="B3596" i="1"/>
  <c r="B3590" i="1"/>
  <c r="B3595" i="1"/>
  <c r="B3607" i="1" l="1"/>
  <c r="A3614" i="1"/>
  <c r="B3605" i="1"/>
  <c r="B3610" i="1"/>
  <c r="B3608" i="1"/>
  <c r="A3603" i="1"/>
  <c r="B3602" i="1"/>
  <c r="B3620" i="1" l="1"/>
  <c r="B3614" i="1"/>
  <c r="B3619" i="1"/>
  <c r="A3626" i="1"/>
  <c r="B3622" i="1"/>
  <c r="B3617" i="1"/>
  <c r="A3615" i="1"/>
  <c r="B3634" i="1" l="1"/>
  <c r="A3627" i="1"/>
  <c r="B3632" i="1"/>
  <c r="B3626" i="1"/>
  <c r="A3638" i="1"/>
  <c r="B3631" i="1"/>
  <c r="B3629" i="1"/>
  <c r="A3650" i="1" l="1"/>
  <c r="B3641" i="1"/>
  <c r="B3646" i="1"/>
  <c r="A3639" i="1"/>
  <c r="B3638" i="1"/>
  <c r="B3644" i="1"/>
  <c r="B3643" i="1"/>
  <c r="B3655" i="1" l="1"/>
  <c r="A3662" i="1"/>
  <c r="B3653" i="1"/>
  <c r="A3651" i="1"/>
  <c r="B3650" i="1"/>
  <c r="B3658" i="1"/>
  <c r="B3656" i="1"/>
  <c r="B3668" i="1" l="1"/>
  <c r="B3662" i="1"/>
  <c r="B3667" i="1"/>
  <c r="B3665" i="1"/>
  <c r="A3663" i="1"/>
  <c r="A3674" i="1"/>
  <c r="B3670" i="1"/>
  <c r="B3682" i="1" l="1"/>
  <c r="A3675" i="1"/>
  <c r="B3680" i="1"/>
  <c r="B3674" i="1"/>
  <c r="B3679" i="1"/>
  <c r="B3677" i="1"/>
  <c r="A3686" i="1"/>
  <c r="A3698" i="1" l="1"/>
  <c r="B3689" i="1"/>
  <c r="B3694" i="1"/>
  <c r="A3687" i="1"/>
  <c r="B3692" i="1"/>
  <c r="B3691" i="1"/>
  <c r="B3686" i="1"/>
  <c r="B3703" i="1" l="1"/>
  <c r="A3710" i="1"/>
  <c r="B3701" i="1"/>
  <c r="B3706" i="1"/>
  <c r="B3704" i="1"/>
  <c r="A3699" i="1"/>
  <c r="B3698" i="1"/>
  <c r="B3716" i="1" l="1"/>
  <c r="B3710" i="1"/>
  <c r="B3715" i="1"/>
  <c r="A3722" i="1"/>
  <c r="B3718" i="1"/>
  <c r="B3713" i="1"/>
  <c r="A3711" i="1"/>
  <c r="B3730" i="1" l="1"/>
  <c r="A3723" i="1"/>
  <c r="B3728" i="1"/>
  <c r="B3722" i="1"/>
  <c r="A3734" i="1"/>
  <c r="B3727" i="1"/>
  <c r="B3725" i="1"/>
  <c r="A3746" i="1" l="1"/>
  <c r="B3737" i="1"/>
  <c r="B3742" i="1"/>
  <c r="A3735" i="1"/>
  <c r="B3734" i="1"/>
  <c r="B3740" i="1"/>
  <c r="B3739" i="1"/>
  <c r="B3751" i="1" l="1"/>
  <c r="A3758" i="1"/>
  <c r="B3749" i="1"/>
  <c r="A3747" i="1"/>
  <c r="B3746" i="1"/>
  <c r="B3754" i="1"/>
  <c r="B3752" i="1"/>
  <c r="B3764" i="1" l="1"/>
  <c r="B3758" i="1"/>
  <c r="B3763" i="1"/>
  <c r="B3761" i="1"/>
  <c r="A3759" i="1"/>
  <c r="A3770" i="1"/>
  <c r="B3766" i="1"/>
  <c r="B3778" i="1" l="1"/>
  <c r="A3771" i="1"/>
  <c r="B3776" i="1"/>
  <c r="B3770" i="1"/>
  <c r="B3775" i="1"/>
  <c r="B3773" i="1"/>
  <c r="A3782" i="1"/>
  <c r="A3794" i="1" l="1"/>
  <c r="B3785" i="1"/>
  <c r="B3790" i="1"/>
  <c r="A3783" i="1"/>
  <c r="B3788" i="1"/>
  <c r="B3787" i="1"/>
  <c r="B3782" i="1"/>
  <c r="B3799" i="1" l="1"/>
  <c r="A3806" i="1"/>
  <c r="B3797" i="1"/>
  <c r="B3802" i="1"/>
  <c r="B3800" i="1"/>
  <c r="A3795" i="1"/>
  <c r="B3794" i="1"/>
  <c r="B3812" i="1" l="1"/>
  <c r="B3806" i="1"/>
  <c r="B3811" i="1"/>
  <c r="A3818" i="1"/>
  <c r="B3814" i="1"/>
  <c r="B3809" i="1"/>
  <c r="A3807" i="1"/>
  <c r="B3826" i="1" l="1"/>
  <c r="A3819" i="1"/>
  <c r="B3824" i="1"/>
  <c r="B3818" i="1"/>
  <c r="A3830" i="1"/>
  <c r="B3823" i="1"/>
  <c r="B3821" i="1"/>
  <c r="A3842" i="1" l="1"/>
  <c r="B3833" i="1"/>
  <c r="B3838" i="1"/>
  <c r="A3831" i="1"/>
  <c r="B3830" i="1"/>
  <c r="B3836" i="1"/>
  <c r="B3835" i="1"/>
  <c r="B3847" i="1" l="1"/>
  <c r="A3854" i="1"/>
  <c r="B3845" i="1"/>
  <c r="A3843" i="1"/>
  <c r="B3842" i="1"/>
  <c r="B3850" i="1"/>
  <c r="B3848" i="1"/>
  <c r="B3860" i="1" l="1"/>
  <c r="B3854" i="1"/>
  <c r="B3859" i="1"/>
  <c r="B3857" i="1"/>
  <c r="A3855" i="1"/>
  <c r="A3866" i="1"/>
  <c r="B3862" i="1"/>
  <c r="B3874" i="1" l="1"/>
  <c r="A3867" i="1"/>
  <c r="B3872" i="1"/>
  <c r="B3866" i="1"/>
  <c r="B3871" i="1"/>
  <c r="B3869" i="1"/>
  <c r="A3878" i="1"/>
  <c r="A3890" i="1" l="1"/>
  <c r="B3881" i="1"/>
  <c r="B3886" i="1"/>
  <c r="A3879" i="1"/>
  <c r="B3884" i="1"/>
  <c r="B3883" i="1"/>
  <c r="B3878" i="1"/>
  <c r="B3895" i="1" l="1"/>
  <c r="A3902" i="1"/>
  <c r="B3893" i="1"/>
  <c r="B3898" i="1"/>
  <c r="B3896" i="1"/>
  <c r="A3891" i="1"/>
  <c r="B3890" i="1"/>
  <c r="B3908" i="1" l="1"/>
  <c r="B3902" i="1"/>
  <c r="B3907" i="1"/>
  <c r="A3914" i="1"/>
  <c r="B3910" i="1"/>
  <c r="B3905" i="1"/>
  <c r="A3903" i="1"/>
  <c r="B3922" i="1" l="1"/>
  <c r="A3915" i="1"/>
  <c r="B3920" i="1"/>
  <c r="B3914" i="1"/>
  <c r="A3926" i="1"/>
  <c r="B3919" i="1"/>
  <c r="B3917" i="1"/>
  <c r="A3938" i="1" l="1"/>
  <c r="B3929" i="1"/>
  <c r="B3934" i="1"/>
  <c r="A3927" i="1"/>
  <c r="B3926" i="1"/>
  <c r="B3932" i="1"/>
  <c r="B3931" i="1"/>
  <c r="B3943" i="1" l="1"/>
  <c r="A3950" i="1"/>
  <c r="B3941" i="1"/>
  <c r="A3939" i="1"/>
  <c r="B3938" i="1"/>
  <c r="B3946" i="1"/>
  <c r="B3944" i="1"/>
  <c r="B3956" i="1" l="1"/>
  <c r="B3950" i="1"/>
  <c r="B3955" i="1"/>
  <c r="B3953" i="1"/>
  <c r="A3951" i="1"/>
  <c r="A3962" i="1"/>
  <c r="B3958" i="1"/>
  <c r="B3970" i="1" l="1"/>
  <c r="A3963" i="1"/>
  <c r="B3968" i="1"/>
  <c r="B3962" i="1"/>
  <c r="B3967" i="1"/>
  <c r="B3965" i="1"/>
  <c r="A3974" i="1"/>
  <c r="A3986" i="1" l="1"/>
  <c r="B3977" i="1"/>
  <c r="B3982" i="1"/>
  <c r="A3975" i="1"/>
  <c r="B3980" i="1"/>
  <c r="B3979" i="1"/>
  <c r="B3974" i="1"/>
  <c r="B3991" i="1" l="1"/>
  <c r="A3998" i="1"/>
  <c r="B3989" i="1"/>
  <c r="B3994" i="1"/>
  <c r="B3992" i="1"/>
  <c r="A3987" i="1"/>
  <c r="B3986" i="1"/>
  <c r="B4004" i="1" l="1"/>
  <c r="B3998" i="1"/>
  <c r="B4003" i="1"/>
  <c r="A4010" i="1"/>
  <c r="B4006" i="1"/>
  <c r="B4001" i="1"/>
  <c r="A3999" i="1"/>
  <c r="B4018" i="1" l="1"/>
  <c r="A4011" i="1"/>
  <c r="B4016" i="1"/>
  <c r="B4010" i="1"/>
  <c r="A4022" i="1"/>
  <c r="B4015" i="1"/>
  <c r="B4013" i="1"/>
  <c r="A4034" i="1" l="1"/>
  <c r="B4025" i="1"/>
  <c r="B4030" i="1"/>
  <c r="A4023" i="1"/>
  <c r="B4022" i="1"/>
  <c r="B4028" i="1"/>
  <c r="B4027" i="1"/>
  <c r="B4039" i="1" l="1"/>
  <c r="A4046" i="1"/>
  <c r="B4037" i="1"/>
  <c r="A4035" i="1"/>
  <c r="B4034" i="1"/>
  <c r="B4042" i="1"/>
  <c r="B4040" i="1"/>
  <c r="B4052" i="1" l="1"/>
  <c r="B4046" i="1"/>
  <c r="B4051" i="1"/>
  <c r="B4049" i="1"/>
  <c r="A4047" i="1"/>
  <c r="A4058" i="1"/>
  <c r="B4054" i="1"/>
  <c r="B4066" i="1" l="1"/>
  <c r="A4059" i="1"/>
  <c r="B4064" i="1"/>
  <c r="B4058" i="1"/>
  <c r="B4063" i="1"/>
  <c r="B4061" i="1"/>
  <c r="A4070" i="1"/>
  <c r="A4082" i="1" l="1"/>
  <c r="B4073" i="1"/>
  <c r="B4078" i="1"/>
  <c r="A4071" i="1"/>
  <c r="B4076" i="1"/>
  <c r="B4075" i="1"/>
  <c r="B4070" i="1"/>
  <c r="B4087" i="1" l="1"/>
  <c r="A4094" i="1"/>
  <c r="B4085" i="1"/>
  <c r="B4090" i="1"/>
  <c r="B4088" i="1"/>
  <c r="A4083" i="1"/>
  <c r="B4082" i="1"/>
  <c r="B4100" i="1" l="1"/>
  <c r="B4094" i="1"/>
  <c r="B4099" i="1"/>
  <c r="A4106" i="1"/>
  <c r="B4102" i="1"/>
  <c r="B4097" i="1"/>
  <c r="A4095" i="1"/>
  <c r="B4114" i="1" l="1"/>
  <c r="A4107" i="1"/>
  <c r="B4112" i="1"/>
  <c r="B4106" i="1"/>
  <c r="A4118" i="1"/>
  <c r="B4111" i="1"/>
  <c r="B4109" i="1"/>
  <c r="A4130" i="1" l="1"/>
  <c r="B4121" i="1"/>
  <c r="B4126" i="1"/>
  <c r="A4119" i="1"/>
  <c r="B4118" i="1"/>
  <c r="B4124" i="1"/>
  <c r="B4123" i="1"/>
  <c r="B4135" i="1" l="1"/>
  <c r="A4142" i="1"/>
  <c r="B4133" i="1"/>
  <c r="A4131" i="1"/>
  <c r="B4130" i="1"/>
  <c r="B4138" i="1"/>
  <c r="B4136" i="1"/>
  <c r="B4148" i="1" l="1"/>
  <c r="B4142" i="1"/>
  <c r="B4147" i="1"/>
  <c r="B4145" i="1"/>
  <c r="A4143" i="1"/>
  <c r="A4154" i="1"/>
  <c r="B4150" i="1"/>
  <c r="B4162" i="1" l="1"/>
  <c r="A4155" i="1"/>
  <c r="B4160" i="1"/>
  <c r="B4154" i="1"/>
  <c r="B4159" i="1"/>
  <c r="B4157" i="1"/>
  <c r="A4166" i="1"/>
  <c r="A4178" i="1" l="1"/>
  <c r="B4169" i="1"/>
  <c r="B4174" i="1"/>
  <c r="A4167" i="1"/>
  <c r="B4172" i="1"/>
  <c r="B4171" i="1"/>
  <c r="B4166" i="1"/>
  <c r="B4183" i="1" l="1"/>
  <c r="B4181" i="1"/>
  <c r="B4186" i="1"/>
  <c r="B4184" i="1"/>
  <c r="A4179" i="1"/>
  <c r="B4178" i="1"/>
</calcChain>
</file>

<file path=xl/sharedStrings.xml><?xml version="1.0" encoding="utf-8"?>
<sst xmlns="http://schemas.openxmlformats.org/spreadsheetml/2006/main" count="2094" uniqueCount="6">
  <si>
    <t xml:space="preserve">    always_ff @(posedge CLK100M or negedge RESET_N) begin</t>
  </si>
  <si>
    <t xml:space="preserve">        if(!RESET_N)</t>
  </si>
  <si>
    <t xml:space="preserve">        else begin</t>
  </si>
  <si>
    <t xml:space="preserve">           else</t>
  </si>
  <si>
    <t xml:space="preserve">        end</t>
  </si>
  <si>
    <t xml:space="preserve">   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</si>
</sst>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188"/>
  <sheetViews>
    <sheetView topLeftCell="A2995" zoomScale="70" zoomScaleNormal="70" workbookViewId="0">
      <selection activeCell="T3019" sqref="T3019"/>
    </sheetView>
  </sheetViews>
  <sheetFormatPr defaultRowHeight="15" x14ac:dyDescent="0.3"/>
  <sheetData>
    <row r="2" spans="1:2" x14ac:dyDescent="0.3">
      <c r="A2">
        <v>5</v>
      </c>
      <c r="B2" t="str">
        <f>"    // Page Address Resister"&amp;A2</f>
        <v xml:space="preserve">    // Page Address Resister5</v>
      </c>
    </row>
    <row r="3" spans="1:2" x14ac:dyDescent="0.3">
      <c r="A3" t="str">
        <f>DEC2HEX(A2)</f>
        <v>5</v>
      </c>
      <c r="B3" t="s">
        <v>0</v>
      </c>
    </row>
    <row r="4" spans="1:2" x14ac:dyDescent="0.3">
      <c r="B4" t="s">
        <v>1</v>
      </c>
    </row>
    <row r="5" spans="1:2" x14ac:dyDescent="0.3">
      <c r="B5" t="str">
        <f>"            sr_paddr_dat["&amp;A2&amp;"]   &lt;= 24'h0;"</f>
        <v xml:space="preserve">            sr_paddr_dat[5]   &lt;= 24'h0;</v>
      </c>
    </row>
    <row r="6" spans="1:2" x14ac:dyDescent="0.3">
      <c r="B6" t="s">
        <v>2</v>
      </c>
    </row>
    <row r="7" spans="1:2" x14ac:dyDescent="0.3">
      <c r="B7" t="str">
        <f>"           if (PADDR_CNT == 7'd"&amp;A2&amp;")"</f>
        <v xml:space="preserve">           if (PADDR_CNT == 7'd5)</v>
      </c>
    </row>
    <row r="8" spans="1:2" x14ac:dyDescent="0.3">
      <c r="B8" t="str">
        <f>"               sr_paddr_dat["&amp;A2&amp;"]  &lt;= sr_page_paddr_buf;"</f>
        <v xml:space="preserve">               sr_paddr_dat[5]  &lt;= sr_page_paddr_buf;</v>
      </c>
    </row>
    <row r="9" spans="1:2" x14ac:dyDescent="0.3">
      <c r="B9" t="s">
        <v>3</v>
      </c>
    </row>
    <row r="10" spans="1:2" x14ac:dyDescent="0.3">
      <c r="B10" t="str">
        <f>"               sr_paddr_dat["&amp;A2&amp;"]  &lt;= sr_paddr_dat["&amp;A2&amp;"];"</f>
        <v xml:space="preserve">               sr_paddr_dat[5]  &lt;= sr_paddr_dat[5];</v>
      </c>
    </row>
    <row r="11" spans="1:2" x14ac:dyDescent="0.3">
      <c r="B11" t="s">
        <v>4</v>
      </c>
    </row>
    <row r="12" spans="1:2" x14ac:dyDescent="0.3">
      <c r="B12" t="s">
        <v>5</v>
      </c>
    </row>
    <row r="14" spans="1:2" x14ac:dyDescent="0.3">
      <c r="A14">
        <f>A2+1</f>
        <v>6</v>
      </c>
      <c r="B14" t="str">
        <f>"    // Page Address Resister"&amp;A14</f>
        <v xml:space="preserve">    // Page Address Resister6</v>
      </c>
    </row>
    <row r="15" spans="1:2" x14ac:dyDescent="0.3">
      <c r="A15" t="str">
        <f>DEC2HEX(A14)</f>
        <v>6</v>
      </c>
      <c r="B15" t="s">
        <v>0</v>
      </c>
    </row>
    <row r="16" spans="1:2" x14ac:dyDescent="0.3">
      <c r="B16" t="s">
        <v>1</v>
      </c>
    </row>
    <row r="17" spans="1:2" x14ac:dyDescent="0.3">
      <c r="B17" t="str">
        <f>"            sr_paddr_dat["&amp;A14&amp;"]   &lt;= 24'h0;"</f>
        <v xml:space="preserve">            sr_paddr_dat[6]   &lt;= 24'h0;</v>
      </c>
    </row>
    <row r="18" spans="1:2" x14ac:dyDescent="0.3">
      <c r="B18" t="s">
        <v>2</v>
      </c>
    </row>
    <row r="19" spans="1:2" x14ac:dyDescent="0.3">
      <c r="B19" t="str">
        <f>"           if (PADDR_CNT == 7'd"&amp;A14&amp;")"</f>
        <v xml:space="preserve">           if (PADDR_CNT == 7'd6)</v>
      </c>
    </row>
    <row r="20" spans="1:2" x14ac:dyDescent="0.3">
      <c r="B20" t="str">
        <f>"               sr_paddr_dat["&amp;A14&amp;"]  &lt;= sr_page_paddr_buf;"</f>
        <v xml:space="preserve">               sr_paddr_dat[6]  &lt;= sr_page_paddr_buf;</v>
      </c>
    </row>
    <row r="21" spans="1:2" x14ac:dyDescent="0.3">
      <c r="B21" t="s">
        <v>3</v>
      </c>
    </row>
    <row r="22" spans="1:2" x14ac:dyDescent="0.3">
      <c r="B22" t="str">
        <f>"               sr_paddr_dat["&amp;A14&amp;"]  &lt;= sr_paddr_dat["&amp;A14&amp;"];"</f>
        <v xml:space="preserve">               sr_paddr_dat[6]  &lt;= sr_paddr_dat[6];</v>
      </c>
    </row>
    <row r="23" spans="1:2" x14ac:dyDescent="0.3">
      <c r="B23" t="s">
        <v>4</v>
      </c>
    </row>
    <row r="24" spans="1:2" x14ac:dyDescent="0.3">
      <c r="B24" t="s">
        <v>5</v>
      </c>
    </row>
    <row r="26" spans="1:2" x14ac:dyDescent="0.3">
      <c r="A26">
        <f>A14+1</f>
        <v>7</v>
      </c>
      <c r="B26" t="str">
        <f>"    // Page Address Resister"&amp;A26</f>
        <v xml:space="preserve">    // Page Address Resister7</v>
      </c>
    </row>
    <row r="27" spans="1:2" x14ac:dyDescent="0.3">
      <c r="A27" t="str">
        <f t="shared" ref="A27" si="0">DEC2HEX(A26)</f>
        <v>7</v>
      </c>
      <c r="B27" t="s">
        <v>0</v>
      </c>
    </row>
    <row r="28" spans="1:2" x14ac:dyDescent="0.3">
      <c r="B28" t="s">
        <v>1</v>
      </c>
    </row>
    <row r="29" spans="1:2" x14ac:dyDescent="0.3">
      <c r="B29" t="str">
        <f>"            sr_paddr_dat["&amp;A26&amp;"]   &lt;= 24'h0;"</f>
        <v xml:space="preserve">            sr_paddr_dat[7]   &lt;= 24'h0;</v>
      </c>
    </row>
    <row r="30" spans="1:2" x14ac:dyDescent="0.3">
      <c r="B30" t="s">
        <v>2</v>
      </c>
    </row>
    <row r="31" spans="1:2" x14ac:dyDescent="0.3">
      <c r="B31" t="str">
        <f>"           if (PADDR_CNT == 7'd"&amp;A26&amp;")"</f>
        <v xml:space="preserve">           if (PADDR_CNT == 7'd7)</v>
      </c>
    </row>
    <row r="32" spans="1:2" x14ac:dyDescent="0.3">
      <c r="B32" t="str">
        <f>"               sr_paddr_dat["&amp;A26&amp;"]  &lt;= sr_page_paddr_buf;"</f>
        <v xml:space="preserve">               sr_paddr_dat[7]  &lt;= sr_page_paddr_buf;</v>
      </c>
    </row>
    <row r="33" spans="1:2" x14ac:dyDescent="0.3">
      <c r="B33" t="s">
        <v>3</v>
      </c>
    </row>
    <row r="34" spans="1:2" x14ac:dyDescent="0.3">
      <c r="B34" t="str">
        <f>"               sr_paddr_dat["&amp;A26&amp;"]  &lt;= sr_paddr_dat["&amp;A26&amp;"];"</f>
        <v xml:space="preserve">               sr_paddr_dat[7]  &lt;= sr_paddr_dat[7];</v>
      </c>
    </row>
    <row r="35" spans="1:2" x14ac:dyDescent="0.3">
      <c r="B35" t="s">
        <v>4</v>
      </c>
    </row>
    <row r="36" spans="1:2" x14ac:dyDescent="0.3">
      <c r="B36" t="s">
        <v>5</v>
      </c>
    </row>
    <row r="38" spans="1:2" x14ac:dyDescent="0.3">
      <c r="A38">
        <f>A26+1</f>
        <v>8</v>
      </c>
      <c r="B38" t="str">
        <f>"    // Page Address Resister"&amp;A38</f>
        <v xml:space="preserve">    // Page Address Resister8</v>
      </c>
    </row>
    <row r="39" spans="1:2" x14ac:dyDescent="0.3">
      <c r="A39" t="str">
        <f t="shared" ref="A39" si="1">DEC2HEX(A38)</f>
        <v>8</v>
      </c>
      <c r="B39" t="s">
        <v>0</v>
      </c>
    </row>
    <row r="40" spans="1:2" x14ac:dyDescent="0.3">
      <c r="B40" t="s">
        <v>1</v>
      </c>
    </row>
    <row r="41" spans="1:2" x14ac:dyDescent="0.3">
      <c r="B41" t="str">
        <f>"            sr_paddr_dat["&amp;A38&amp;"]   &lt;= 24'h0;"</f>
        <v xml:space="preserve">            sr_paddr_dat[8]   &lt;= 24'h0;</v>
      </c>
    </row>
    <row r="42" spans="1:2" x14ac:dyDescent="0.3">
      <c r="B42" t="s">
        <v>2</v>
      </c>
    </row>
    <row r="43" spans="1:2" x14ac:dyDescent="0.3">
      <c r="B43" t="str">
        <f>"           if (PADDR_CNT == 7'd"&amp;A38&amp;")"</f>
        <v xml:space="preserve">           if (PADDR_CNT == 7'd8)</v>
      </c>
    </row>
    <row r="44" spans="1:2" x14ac:dyDescent="0.3">
      <c r="B44" t="str">
        <f>"               sr_paddr_dat["&amp;A38&amp;"]  &lt;= sr_page_paddr_buf;"</f>
        <v xml:space="preserve">               sr_paddr_dat[8]  &lt;= sr_page_paddr_buf;</v>
      </c>
    </row>
    <row r="45" spans="1:2" x14ac:dyDescent="0.3">
      <c r="B45" t="s">
        <v>3</v>
      </c>
    </row>
    <row r="46" spans="1:2" x14ac:dyDescent="0.3">
      <c r="B46" t="str">
        <f>"               sr_paddr_dat["&amp;A38&amp;"]  &lt;= sr_paddr_dat["&amp;A38&amp;"];"</f>
        <v xml:space="preserve">               sr_paddr_dat[8]  &lt;= sr_paddr_dat[8];</v>
      </c>
    </row>
    <row r="47" spans="1:2" x14ac:dyDescent="0.3">
      <c r="B47" t="s">
        <v>4</v>
      </c>
    </row>
    <row r="48" spans="1:2" x14ac:dyDescent="0.3">
      <c r="B48" t="s">
        <v>5</v>
      </c>
    </row>
    <row r="50" spans="1:2" x14ac:dyDescent="0.3">
      <c r="A50">
        <f>A38+1</f>
        <v>9</v>
      </c>
      <c r="B50" t="str">
        <f>"    // Page Address Resister"&amp;A50</f>
        <v xml:space="preserve">    // Page Address Resister9</v>
      </c>
    </row>
    <row r="51" spans="1:2" x14ac:dyDescent="0.3">
      <c r="A51" t="str">
        <f t="shared" ref="A51" si="2">DEC2HEX(A50)</f>
        <v>9</v>
      </c>
      <c r="B51" t="s">
        <v>0</v>
      </c>
    </row>
    <row r="52" spans="1:2" x14ac:dyDescent="0.3">
      <c r="B52" t="s">
        <v>1</v>
      </c>
    </row>
    <row r="53" spans="1:2" x14ac:dyDescent="0.3">
      <c r="B53" t="str">
        <f>"            sr_paddr_dat["&amp;A50&amp;"]   &lt;= 24'h0;"</f>
        <v xml:space="preserve">            sr_paddr_dat[9]   &lt;= 24'h0;</v>
      </c>
    </row>
    <row r="54" spans="1:2" x14ac:dyDescent="0.3">
      <c r="B54" t="s">
        <v>2</v>
      </c>
    </row>
    <row r="55" spans="1:2" x14ac:dyDescent="0.3">
      <c r="B55" t="str">
        <f>"           if (PADDR_CNT == 7'd"&amp;A50&amp;")"</f>
        <v xml:space="preserve">           if (PADDR_CNT == 7'd9)</v>
      </c>
    </row>
    <row r="56" spans="1:2" x14ac:dyDescent="0.3">
      <c r="B56" t="str">
        <f>"               sr_paddr_dat["&amp;A50&amp;"]  &lt;= sr_page_paddr_buf;"</f>
        <v xml:space="preserve">               sr_paddr_dat[9]  &lt;= sr_page_paddr_buf;</v>
      </c>
    </row>
    <row r="57" spans="1:2" x14ac:dyDescent="0.3">
      <c r="B57" t="s">
        <v>3</v>
      </c>
    </row>
    <row r="58" spans="1:2" x14ac:dyDescent="0.3">
      <c r="B58" t="str">
        <f>"               sr_paddr_dat["&amp;A50&amp;"]  &lt;= sr_paddr_dat["&amp;A50&amp;"];"</f>
        <v xml:space="preserve">               sr_paddr_dat[9]  &lt;= sr_paddr_dat[9];</v>
      </c>
    </row>
    <row r="59" spans="1:2" x14ac:dyDescent="0.3">
      <c r="B59" t="s">
        <v>4</v>
      </c>
    </row>
    <row r="60" spans="1:2" x14ac:dyDescent="0.3">
      <c r="B60" t="s">
        <v>5</v>
      </c>
    </row>
    <row r="62" spans="1:2" x14ac:dyDescent="0.3">
      <c r="A62">
        <f>A50+1</f>
        <v>10</v>
      </c>
      <c r="B62" t="str">
        <f>"    // Page Address Resister"&amp;A62</f>
        <v xml:space="preserve">    // Page Address Resister10</v>
      </c>
    </row>
    <row r="63" spans="1:2" x14ac:dyDescent="0.3">
      <c r="A63" t="str">
        <f>DEC2HEX(A62)</f>
        <v>A</v>
      </c>
      <c r="B63" t="s">
        <v>0</v>
      </c>
    </row>
    <row r="64" spans="1:2" x14ac:dyDescent="0.3">
      <c r="B64" t="s">
        <v>1</v>
      </c>
    </row>
    <row r="65" spans="1:2" x14ac:dyDescent="0.3">
      <c r="B65" t="str">
        <f>"            sr_paddr_dat["&amp;A62&amp;"]   &lt;= 24'h0;"</f>
        <v xml:space="preserve">            sr_paddr_dat[10]   &lt;= 24'h0;</v>
      </c>
    </row>
    <row r="66" spans="1:2" x14ac:dyDescent="0.3">
      <c r="B66" t="s">
        <v>2</v>
      </c>
    </row>
    <row r="67" spans="1:2" x14ac:dyDescent="0.3">
      <c r="B67" t="str">
        <f>"           if (PADDR_CNT == 7'd"&amp;A62&amp;")"</f>
        <v xml:space="preserve">           if (PADDR_CNT == 7'd10)</v>
      </c>
    </row>
    <row r="68" spans="1:2" x14ac:dyDescent="0.3">
      <c r="B68" t="str">
        <f>"               sr_paddr_dat["&amp;A62&amp;"]  &lt;= sr_page_paddr_buf;"</f>
        <v xml:space="preserve">               sr_paddr_dat[10]  &lt;= sr_page_paddr_buf;</v>
      </c>
    </row>
    <row r="69" spans="1:2" x14ac:dyDescent="0.3">
      <c r="B69" t="s">
        <v>3</v>
      </c>
    </row>
    <row r="70" spans="1:2" x14ac:dyDescent="0.3">
      <c r="B70" t="str">
        <f>"               sr_paddr_dat["&amp;A62&amp;"]  &lt;= sr_paddr_dat["&amp;A62&amp;"];"</f>
        <v xml:space="preserve">               sr_paddr_dat[10]  &lt;= sr_paddr_dat[10];</v>
      </c>
    </row>
    <row r="71" spans="1:2" x14ac:dyDescent="0.3">
      <c r="B71" t="s">
        <v>4</v>
      </c>
    </row>
    <row r="72" spans="1:2" x14ac:dyDescent="0.3">
      <c r="B72" t="s">
        <v>5</v>
      </c>
    </row>
    <row r="74" spans="1:2" x14ac:dyDescent="0.3">
      <c r="A74">
        <f>A62+1</f>
        <v>11</v>
      </c>
      <c r="B74" t="str">
        <f>"    // Page Address Resister"&amp;A74</f>
        <v xml:space="preserve">    // Page Address Resister11</v>
      </c>
    </row>
    <row r="75" spans="1:2" x14ac:dyDescent="0.3">
      <c r="A75" t="str">
        <f>DEC2HEX(A74)</f>
        <v>B</v>
      </c>
      <c r="B75" t="s">
        <v>0</v>
      </c>
    </row>
    <row r="76" spans="1:2" x14ac:dyDescent="0.3">
      <c r="B76" t="s">
        <v>1</v>
      </c>
    </row>
    <row r="77" spans="1:2" x14ac:dyDescent="0.3">
      <c r="B77" t="str">
        <f>"            sr_paddr_dat["&amp;A74&amp;"]   &lt;= 24'h0;"</f>
        <v xml:space="preserve">            sr_paddr_dat[11]   &lt;= 24'h0;</v>
      </c>
    </row>
    <row r="78" spans="1:2" x14ac:dyDescent="0.3">
      <c r="B78" t="s">
        <v>2</v>
      </c>
    </row>
    <row r="79" spans="1:2" x14ac:dyDescent="0.3">
      <c r="B79" t="str">
        <f>"           if (PADDR_CNT == 7'd"&amp;A74&amp;")"</f>
        <v xml:space="preserve">           if (PADDR_CNT == 7'd11)</v>
      </c>
    </row>
    <row r="80" spans="1:2" x14ac:dyDescent="0.3">
      <c r="B80" t="str">
        <f>"               sr_paddr_dat["&amp;A74&amp;"]  &lt;= sr_page_paddr_buf;"</f>
        <v xml:space="preserve">               sr_paddr_dat[11]  &lt;= sr_page_paddr_buf;</v>
      </c>
    </row>
    <row r="81" spans="1:2" x14ac:dyDescent="0.3">
      <c r="B81" t="s">
        <v>3</v>
      </c>
    </row>
    <row r="82" spans="1:2" x14ac:dyDescent="0.3">
      <c r="B82" t="str">
        <f>"               sr_paddr_dat["&amp;A74&amp;"]  &lt;= sr_paddr_dat["&amp;A74&amp;"];"</f>
        <v xml:space="preserve">               sr_paddr_dat[11]  &lt;= sr_paddr_dat[11];</v>
      </c>
    </row>
    <row r="83" spans="1:2" x14ac:dyDescent="0.3">
      <c r="B83" t="s">
        <v>4</v>
      </c>
    </row>
    <row r="84" spans="1:2" x14ac:dyDescent="0.3">
      <c r="B84" t="s">
        <v>5</v>
      </c>
    </row>
    <row r="86" spans="1:2" x14ac:dyDescent="0.3">
      <c r="A86">
        <f>A74+1</f>
        <v>12</v>
      </c>
      <c r="B86" t="str">
        <f>"    // Page Address Resister"&amp;A86</f>
        <v xml:space="preserve">    // Page Address Resister12</v>
      </c>
    </row>
    <row r="87" spans="1:2" x14ac:dyDescent="0.3">
      <c r="A87" t="str">
        <f>DEC2HEX(A86)</f>
        <v>C</v>
      </c>
      <c r="B87" t="s">
        <v>0</v>
      </c>
    </row>
    <row r="88" spans="1:2" x14ac:dyDescent="0.3">
      <c r="B88" t="s">
        <v>1</v>
      </c>
    </row>
    <row r="89" spans="1:2" x14ac:dyDescent="0.3">
      <c r="B89" t="str">
        <f>"            sr_paddr_dat["&amp;A86&amp;"]   &lt;= 24'h0;"</f>
        <v xml:space="preserve">            sr_paddr_dat[12]   &lt;= 24'h0;</v>
      </c>
    </row>
    <row r="90" spans="1:2" x14ac:dyDescent="0.3">
      <c r="B90" t="s">
        <v>2</v>
      </c>
    </row>
    <row r="91" spans="1:2" x14ac:dyDescent="0.3">
      <c r="B91" t="str">
        <f>"           if (PADDR_CNT == 7'd"&amp;A86&amp;")"</f>
        <v xml:space="preserve">           if (PADDR_CNT == 7'd12)</v>
      </c>
    </row>
    <row r="92" spans="1:2" x14ac:dyDescent="0.3">
      <c r="B92" t="str">
        <f>"               sr_paddr_dat["&amp;A86&amp;"]  &lt;= sr_page_paddr_buf;"</f>
        <v xml:space="preserve">               sr_paddr_dat[12]  &lt;= sr_page_paddr_buf;</v>
      </c>
    </row>
    <row r="93" spans="1:2" x14ac:dyDescent="0.3">
      <c r="B93" t="s">
        <v>3</v>
      </c>
    </row>
    <row r="94" spans="1:2" x14ac:dyDescent="0.3">
      <c r="B94" t="str">
        <f>"               sr_paddr_dat["&amp;A86&amp;"]  &lt;= sr_paddr_dat["&amp;A86&amp;"];"</f>
        <v xml:space="preserve">               sr_paddr_dat[12]  &lt;= sr_paddr_dat[12];</v>
      </c>
    </row>
    <row r="95" spans="1:2" x14ac:dyDescent="0.3">
      <c r="B95" t="s">
        <v>4</v>
      </c>
    </row>
    <row r="96" spans="1:2" x14ac:dyDescent="0.3">
      <c r="B96" t="s">
        <v>5</v>
      </c>
    </row>
    <row r="98" spans="1:2" x14ac:dyDescent="0.3">
      <c r="A98">
        <f>A86+1</f>
        <v>13</v>
      </c>
      <c r="B98" t="str">
        <f>"    // Page Address Resister"&amp;A98</f>
        <v xml:space="preserve">    // Page Address Resister13</v>
      </c>
    </row>
    <row r="99" spans="1:2" x14ac:dyDescent="0.3">
      <c r="A99" t="str">
        <f>DEC2HEX(A98)</f>
        <v>D</v>
      </c>
      <c r="B99" t="s">
        <v>0</v>
      </c>
    </row>
    <row r="100" spans="1:2" x14ac:dyDescent="0.3">
      <c r="B100" t="s">
        <v>1</v>
      </c>
    </row>
    <row r="101" spans="1:2" x14ac:dyDescent="0.3">
      <c r="B101" t="str">
        <f>"            sr_paddr_dat["&amp;A98&amp;"]   &lt;= 24'h0;"</f>
        <v xml:space="preserve">            sr_paddr_dat[13]   &lt;= 24'h0;</v>
      </c>
    </row>
    <row r="102" spans="1:2" x14ac:dyDescent="0.3">
      <c r="B102" t="s">
        <v>2</v>
      </c>
    </row>
    <row r="103" spans="1:2" x14ac:dyDescent="0.3">
      <c r="B103" t="str">
        <f>"           if (PADDR_CNT == 7'd"&amp;A98&amp;")"</f>
        <v xml:space="preserve">           if (PADDR_CNT == 7'd13)</v>
      </c>
    </row>
    <row r="104" spans="1:2" x14ac:dyDescent="0.3">
      <c r="B104" t="str">
        <f>"               sr_paddr_dat["&amp;A98&amp;"]  &lt;= sr_page_paddr_buf;"</f>
        <v xml:space="preserve">               sr_paddr_dat[13]  &lt;= sr_page_paddr_buf;</v>
      </c>
    </row>
    <row r="105" spans="1:2" x14ac:dyDescent="0.3">
      <c r="B105" t="s">
        <v>3</v>
      </c>
    </row>
    <row r="106" spans="1:2" x14ac:dyDescent="0.3">
      <c r="B106" t="str">
        <f>"               sr_paddr_dat["&amp;A98&amp;"]  &lt;= sr_paddr_dat["&amp;A98&amp;"];"</f>
        <v xml:space="preserve">               sr_paddr_dat[13]  &lt;= sr_paddr_dat[13];</v>
      </c>
    </row>
    <row r="107" spans="1:2" x14ac:dyDescent="0.3">
      <c r="B107" t="s">
        <v>4</v>
      </c>
    </row>
    <row r="108" spans="1:2" x14ac:dyDescent="0.3">
      <c r="B108" t="s">
        <v>5</v>
      </c>
    </row>
    <row r="110" spans="1:2" x14ac:dyDescent="0.3">
      <c r="A110">
        <f>A98+1</f>
        <v>14</v>
      </c>
      <c r="B110" t="str">
        <f>"    // Page Address Resister"&amp;A110</f>
        <v xml:space="preserve">    // Page Address Resister14</v>
      </c>
    </row>
    <row r="111" spans="1:2" x14ac:dyDescent="0.3">
      <c r="A111" t="str">
        <f>DEC2HEX(A110)</f>
        <v>E</v>
      </c>
      <c r="B111" t="s">
        <v>0</v>
      </c>
    </row>
    <row r="112" spans="1:2" x14ac:dyDescent="0.3">
      <c r="B112" t="s">
        <v>1</v>
      </c>
    </row>
    <row r="113" spans="1:2" x14ac:dyDescent="0.3">
      <c r="B113" t="str">
        <f>"            sr_paddr_dat["&amp;A110&amp;"]   &lt;= 24'h0;"</f>
        <v xml:space="preserve">            sr_paddr_dat[14]   &lt;= 24'h0;</v>
      </c>
    </row>
    <row r="114" spans="1:2" x14ac:dyDescent="0.3">
      <c r="B114" t="s">
        <v>2</v>
      </c>
    </row>
    <row r="115" spans="1:2" x14ac:dyDescent="0.3">
      <c r="B115" t="str">
        <f>"           if (PADDR_CNT == 7'd"&amp;A110&amp;")"</f>
        <v xml:space="preserve">           if (PADDR_CNT == 7'd14)</v>
      </c>
    </row>
    <row r="116" spans="1:2" x14ac:dyDescent="0.3">
      <c r="B116" t="str">
        <f>"               sr_paddr_dat["&amp;A110&amp;"]  &lt;= sr_page_paddr_buf;"</f>
        <v xml:space="preserve">               sr_paddr_dat[14]  &lt;= sr_page_paddr_buf;</v>
      </c>
    </row>
    <row r="117" spans="1:2" x14ac:dyDescent="0.3">
      <c r="B117" t="s">
        <v>3</v>
      </c>
    </row>
    <row r="118" spans="1:2" x14ac:dyDescent="0.3">
      <c r="B118" t="str">
        <f>"               sr_paddr_dat["&amp;A110&amp;"]  &lt;= sr_paddr_dat["&amp;A110&amp;"];"</f>
        <v xml:space="preserve">               sr_paddr_dat[14]  &lt;= sr_paddr_dat[14];</v>
      </c>
    </row>
    <row r="119" spans="1:2" x14ac:dyDescent="0.3">
      <c r="B119" t="s">
        <v>4</v>
      </c>
    </row>
    <row r="120" spans="1:2" x14ac:dyDescent="0.3">
      <c r="B120" t="s">
        <v>5</v>
      </c>
    </row>
    <row r="122" spans="1:2" x14ac:dyDescent="0.3">
      <c r="A122">
        <f>A110+1</f>
        <v>15</v>
      </c>
      <c r="B122" t="str">
        <f>"    // Page Address Resister"&amp;A122</f>
        <v xml:space="preserve">    // Page Address Resister15</v>
      </c>
    </row>
    <row r="123" spans="1:2" x14ac:dyDescent="0.3">
      <c r="A123" t="str">
        <f>DEC2HEX(A122)</f>
        <v>F</v>
      </c>
      <c r="B123" t="s">
        <v>0</v>
      </c>
    </row>
    <row r="124" spans="1:2" x14ac:dyDescent="0.3">
      <c r="B124" t="s">
        <v>1</v>
      </c>
    </row>
    <row r="125" spans="1:2" x14ac:dyDescent="0.3">
      <c r="B125" t="str">
        <f>"            sr_paddr_dat["&amp;A122&amp;"]   &lt;= 24'h0;"</f>
        <v xml:space="preserve">            sr_paddr_dat[15]   &lt;= 24'h0;</v>
      </c>
    </row>
    <row r="126" spans="1:2" x14ac:dyDescent="0.3">
      <c r="B126" t="s">
        <v>2</v>
      </c>
    </row>
    <row r="127" spans="1:2" x14ac:dyDescent="0.3">
      <c r="B127" t="str">
        <f>"           if (PADDR_CNT == 7'd"&amp;A122&amp;")"</f>
        <v xml:space="preserve">           if (PADDR_CNT == 7'd15)</v>
      </c>
    </row>
    <row r="128" spans="1:2" x14ac:dyDescent="0.3">
      <c r="B128" t="str">
        <f>"               sr_paddr_dat["&amp;A122&amp;"]  &lt;= sr_page_paddr_buf;"</f>
        <v xml:space="preserve">               sr_paddr_dat[15]  &lt;= sr_page_paddr_buf;</v>
      </c>
    </row>
    <row r="129" spans="1:2" x14ac:dyDescent="0.3">
      <c r="B129" t="s">
        <v>3</v>
      </c>
    </row>
    <row r="130" spans="1:2" x14ac:dyDescent="0.3">
      <c r="B130" t="str">
        <f>"               sr_paddr_dat["&amp;A122&amp;"]  &lt;= sr_paddr_dat["&amp;A122&amp;"];"</f>
        <v xml:space="preserve">               sr_paddr_dat[15]  &lt;= sr_paddr_dat[15];</v>
      </c>
    </row>
    <row r="131" spans="1:2" x14ac:dyDescent="0.3">
      <c r="B131" t="s">
        <v>4</v>
      </c>
    </row>
    <row r="132" spans="1:2" x14ac:dyDescent="0.3">
      <c r="B132" t="s">
        <v>5</v>
      </c>
    </row>
    <row r="134" spans="1:2" x14ac:dyDescent="0.3">
      <c r="A134">
        <f>A122+1</f>
        <v>16</v>
      </c>
      <c r="B134" t="str">
        <f>"    // Page Address Resister"&amp;A134</f>
        <v xml:space="preserve">    // Page Address Resister16</v>
      </c>
    </row>
    <row r="135" spans="1:2" x14ac:dyDescent="0.3">
      <c r="A135" t="str">
        <f>DEC2HEX(A134)</f>
        <v>10</v>
      </c>
      <c r="B135" t="s">
        <v>0</v>
      </c>
    </row>
    <row r="136" spans="1:2" x14ac:dyDescent="0.3">
      <c r="B136" t="s">
        <v>1</v>
      </c>
    </row>
    <row r="137" spans="1:2" x14ac:dyDescent="0.3">
      <c r="B137" t="str">
        <f>"            sr_paddr_dat["&amp;A134&amp;"]   &lt;= 24'h0;"</f>
        <v xml:space="preserve">            sr_paddr_dat[16]   &lt;= 24'h0;</v>
      </c>
    </row>
    <row r="138" spans="1:2" x14ac:dyDescent="0.3">
      <c r="B138" t="s">
        <v>2</v>
      </c>
    </row>
    <row r="139" spans="1:2" x14ac:dyDescent="0.3">
      <c r="B139" t="str">
        <f>"           if (PADDR_CNT == 7'd"&amp;A134&amp;")"</f>
        <v xml:space="preserve">           if (PADDR_CNT == 7'd16)</v>
      </c>
    </row>
    <row r="140" spans="1:2" x14ac:dyDescent="0.3">
      <c r="B140" t="str">
        <f>"               sr_paddr_dat["&amp;A134&amp;"]  &lt;= sr_page_paddr_buf;"</f>
        <v xml:space="preserve">               sr_paddr_dat[16]  &lt;= sr_page_paddr_buf;</v>
      </c>
    </row>
    <row r="141" spans="1:2" x14ac:dyDescent="0.3">
      <c r="B141" t="s">
        <v>3</v>
      </c>
    </row>
    <row r="142" spans="1:2" x14ac:dyDescent="0.3">
      <c r="B142" t="str">
        <f>"               sr_paddr_dat["&amp;A134&amp;"]  &lt;= sr_paddr_dat["&amp;A134&amp;"];"</f>
        <v xml:space="preserve">               sr_paddr_dat[16]  &lt;= sr_paddr_dat[16];</v>
      </c>
    </row>
    <row r="143" spans="1:2" x14ac:dyDescent="0.3">
      <c r="B143" t="s">
        <v>4</v>
      </c>
    </row>
    <row r="144" spans="1:2" x14ac:dyDescent="0.3">
      <c r="B144" t="s">
        <v>5</v>
      </c>
    </row>
    <row r="146" spans="1:2" x14ac:dyDescent="0.3">
      <c r="A146">
        <f>A134+1</f>
        <v>17</v>
      </c>
      <c r="B146" t="str">
        <f>"    // Page Address Resister"&amp;A146</f>
        <v xml:space="preserve">    // Page Address Resister17</v>
      </c>
    </row>
    <row r="147" spans="1:2" x14ac:dyDescent="0.3">
      <c r="A147" t="str">
        <f>DEC2HEX(A146)</f>
        <v>11</v>
      </c>
      <c r="B147" t="s">
        <v>0</v>
      </c>
    </row>
    <row r="148" spans="1:2" x14ac:dyDescent="0.3">
      <c r="B148" t="s">
        <v>1</v>
      </c>
    </row>
    <row r="149" spans="1:2" x14ac:dyDescent="0.3">
      <c r="B149" t="str">
        <f>"            sr_paddr_dat["&amp;A146&amp;"]   &lt;= 24'h0;"</f>
        <v xml:space="preserve">            sr_paddr_dat[17]   &lt;= 24'h0;</v>
      </c>
    </row>
    <row r="150" spans="1:2" x14ac:dyDescent="0.3">
      <c r="B150" t="s">
        <v>2</v>
      </c>
    </row>
    <row r="151" spans="1:2" x14ac:dyDescent="0.3">
      <c r="B151" t="str">
        <f>"           if (PADDR_CNT == 7'd"&amp;A146&amp;")"</f>
        <v xml:space="preserve">           if (PADDR_CNT == 7'd17)</v>
      </c>
    </row>
    <row r="152" spans="1:2" x14ac:dyDescent="0.3">
      <c r="B152" t="str">
        <f>"               sr_paddr_dat["&amp;A146&amp;"]  &lt;= sr_page_paddr_buf;"</f>
        <v xml:space="preserve">               sr_paddr_dat[17]  &lt;= sr_page_paddr_buf;</v>
      </c>
    </row>
    <row r="153" spans="1:2" x14ac:dyDescent="0.3">
      <c r="B153" t="s">
        <v>3</v>
      </c>
    </row>
    <row r="154" spans="1:2" x14ac:dyDescent="0.3">
      <c r="B154" t="str">
        <f>"               sr_paddr_dat["&amp;A146&amp;"]  &lt;= sr_paddr_dat["&amp;A146&amp;"];"</f>
        <v xml:space="preserve">               sr_paddr_dat[17]  &lt;= sr_paddr_dat[17];</v>
      </c>
    </row>
    <row r="155" spans="1:2" x14ac:dyDescent="0.3">
      <c r="B155" t="s">
        <v>4</v>
      </c>
    </row>
    <row r="156" spans="1:2" x14ac:dyDescent="0.3">
      <c r="B156" t="s">
        <v>5</v>
      </c>
    </row>
    <row r="158" spans="1:2" x14ac:dyDescent="0.3">
      <c r="A158">
        <f>A146+1</f>
        <v>18</v>
      </c>
      <c r="B158" t="str">
        <f>"    // Page Address Resister"&amp;A158</f>
        <v xml:space="preserve">    // Page Address Resister18</v>
      </c>
    </row>
    <row r="159" spans="1:2" x14ac:dyDescent="0.3">
      <c r="A159" t="str">
        <f>DEC2HEX(A158)</f>
        <v>12</v>
      </c>
      <c r="B159" t="s">
        <v>0</v>
      </c>
    </row>
    <row r="160" spans="1:2" x14ac:dyDescent="0.3">
      <c r="B160" t="s">
        <v>1</v>
      </c>
    </row>
    <row r="161" spans="1:2" x14ac:dyDescent="0.3">
      <c r="B161" t="str">
        <f>"            sr_paddr_dat["&amp;A158&amp;"]   &lt;= 24'h0;"</f>
        <v xml:space="preserve">            sr_paddr_dat[18]   &lt;= 24'h0;</v>
      </c>
    </row>
    <row r="162" spans="1:2" x14ac:dyDescent="0.3">
      <c r="B162" t="s">
        <v>2</v>
      </c>
    </row>
    <row r="163" spans="1:2" x14ac:dyDescent="0.3">
      <c r="B163" t="str">
        <f>"           if (PADDR_CNT == 7'd"&amp;A158&amp;")"</f>
        <v xml:space="preserve">           if (PADDR_CNT == 7'd18)</v>
      </c>
    </row>
    <row r="164" spans="1:2" x14ac:dyDescent="0.3">
      <c r="B164" t="str">
        <f>"               sr_paddr_dat["&amp;A158&amp;"]  &lt;= sr_page_paddr_buf;"</f>
        <v xml:space="preserve">               sr_paddr_dat[18]  &lt;= sr_page_paddr_buf;</v>
      </c>
    </row>
    <row r="165" spans="1:2" x14ac:dyDescent="0.3">
      <c r="B165" t="s">
        <v>3</v>
      </c>
    </row>
    <row r="166" spans="1:2" x14ac:dyDescent="0.3">
      <c r="B166" t="str">
        <f>"               sr_paddr_dat["&amp;A158&amp;"]  &lt;= sr_paddr_dat["&amp;A158&amp;"];"</f>
        <v xml:space="preserve">               sr_paddr_dat[18]  &lt;= sr_paddr_dat[18];</v>
      </c>
    </row>
    <row r="167" spans="1:2" x14ac:dyDescent="0.3">
      <c r="B167" t="s">
        <v>4</v>
      </c>
    </row>
    <row r="168" spans="1:2" x14ac:dyDescent="0.3">
      <c r="B168" t="s">
        <v>5</v>
      </c>
    </row>
    <row r="170" spans="1:2" x14ac:dyDescent="0.3">
      <c r="A170">
        <f>A158+1</f>
        <v>19</v>
      </c>
      <c r="B170" t="str">
        <f>"    // Page Address Resister"&amp;A170</f>
        <v xml:space="preserve">    // Page Address Resister19</v>
      </c>
    </row>
    <row r="171" spans="1:2" x14ac:dyDescent="0.3">
      <c r="A171" t="str">
        <f>DEC2HEX(A170)</f>
        <v>13</v>
      </c>
      <c r="B171" t="s">
        <v>0</v>
      </c>
    </row>
    <row r="172" spans="1:2" x14ac:dyDescent="0.3">
      <c r="B172" t="s">
        <v>1</v>
      </c>
    </row>
    <row r="173" spans="1:2" x14ac:dyDescent="0.3">
      <c r="B173" t="str">
        <f>"            sr_paddr_dat["&amp;A170&amp;"]   &lt;= 24'h0;"</f>
        <v xml:space="preserve">            sr_paddr_dat[19]   &lt;= 24'h0;</v>
      </c>
    </row>
    <row r="174" spans="1:2" x14ac:dyDescent="0.3">
      <c r="B174" t="s">
        <v>2</v>
      </c>
    </row>
    <row r="175" spans="1:2" x14ac:dyDescent="0.3">
      <c r="B175" t="str">
        <f>"           if (PADDR_CNT == 7'd"&amp;A170&amp;")"</f>
        <v xml:space="preserve">           if (PADDR_CNT == 7'd19)</v>
      </c>
    </row>
    <row r="176" spans="1:2" x14ac:dyDescent="0.3">
      <c r="B176" t="str">
        <f>"               sr_paddr_dat["&amp;A170&amp;"]  &lt;= sr_page_paddr_buf;"</f>
        <v xml:space="preserve">               sr_paddr_dat[19]  &lt;= sr_page_paddr_buf;</v>
      </c>
    </row>
    <row r="177" spans="1:2" x14ac:dyDescent="0.3">
      <c r="B177" t="s">
        <v>3</v>
      </c>
    </row>
    <row r="178" spans="1:2" x14ac:dyDescent="0.3">
      <c r="B178" t="str">
        <f>"               sr_paddr_dat["&amp;A170&amp;"]  &lt;= sr_paddr_dat["&amp;A170&amp;"];"</f>
        <v xml:space="preserve">               sr_paddr_dat[19]  &lt;= sr_paddr_dat[19];</v>
      </c>
    </row>
    <row r="179" spans="1:2" x14ac:dyDescent="0.3">
      <c r="B179" t="s">
        <v>4</v>
      </c>
    </row>
    <row r="180" spans="1:2" x14ac:dyDescent="0.3">
      <c r="B180" t="s">
        <v>5</v>
      </c>
    </row>
    <row r="182" spans="1:2" x14ac:dyDescent="0.3">
      <c r="A182">
        <f>A170+1</f>
        <v>20</v>
      </c>
      <c r="B182" t="str">
        <f>"    // Page Address Resister"&amp;A182</f>
        <v xml:space="preserve">    // Page Address Resister20</v>
      </c>
    </row>
    <row r="183" spans="1:2" x14ac:dyDescent="0.3">
      <c r="A183" t="str">
        <f>DEC2HEX(A182)</f>
        <v>14</v>
      </c>
      <c r="B183" t="s">
        <v>0</v>
      </c>
    </row>
    <row r="184" spans="1:2" x14ac:dyDescent="0.3">
      <c r="B184" t="s">
        <v>1</v>
      </c>
    </row>
    <row r="185" spans="1:2" x14ac:dyDescent="0.3">
      <c r="B185" t="str">
        <f>"            sr_paddr_dat["&amp;A182&amp;"]   &lt;= 24'h0;"</f>
        <v xml:space="preserve">            sr_paddr_dat[20]   &lt;= 24'h0;</v>
      </c>
    </row>
    <row r="186" spans="1:2" x14ac:dyDescent="0.3">
      <c r="B186" t="s">
        <v>2</v>
      </c>
    </row>
    <row r="187" spans="1:2" x14ac:dyDescent="0.3">
      <c r="B187" t="str">
        <f>"           if (PADDR_CNT == 7'd"&amp;A182&amp;")"</f>
        <v xml:space="preserve">           if (PADDR_CNT == 7'd20)</v>
      </c>
    </row>
    <row r="188" spans="1:2" x14ac:dyDescent="0.3">
      <c r="B188" t="str">
        <f>"               sr_paddr_dat["&amp;A182&amp;"]  &lt;= sr_page_paddr_buf;"</f>
        <v xml:space="preserve">               sr_paddr_dat[20]  &lt;= sr_page_paddr_buf;</v>
      </c>
    </row>
    <row r="189" spans="1:2" x14ac:dyDescent="0.3">
      <c r="B189" t="s">
        <v>3</v>
      </c>
    </row>
    <row r="190" spans="1:2" x14ac:dyDescent="0.3">
      <c r="B190" t="str">
        <f>"               sr_paddr_dat["&amp;A182&amp;"]  &lt;= sr_paddr_dat["&amp;A182&amp;"];"</f>
        <v xml:space="preserve">               sr_paddr_dat[20]  &lt;= sr_paddr_dat[20];</v>
      </c>
    </row>
    <row r="191" spans="1:2" x14ac:dyDescent="0.3">
      <c r="B191" t="s">
        <v>4</v>
      </c>
    </row>
    <row r="192" spans="1:2" x14ac:dyDescent="0.3">
      <c r="B192" t="s">
        <v>5</v>
      </c>
    </row>
    <row r="194" spans="1:2" x14ac:dyDescent="0.3">
      <c r="A194">
        <f>A182+1</f>
        <v>21</v>
      </c>
      <c r="B194" t="str">
        <f>"    // Page Address Resister"&amp;A194</f>
        <v xml:space="preserve">    // Page Address Resister21</v>
      </c>
    </row>
    <row r="195" spans="1:2" x14ac:dyDescent="0.3">
      <c r="A195" t="str">
        <f>DEC2HEX(A194)</f>
        <v>15</v>
      </c>
      <c r="B195" t="s">
        <v>0</v>
      </c>
    </row>
    <row r="196" spans="1:2" x14ac:dyDescent="0.3">
      <c r="B196" t="s">
        <v>1</v>
      </c>
    </row>
    <row r="197" spans="1:2" x14ac:dyDescent="0.3">
      <c r="B197" t="str">
        <f>"            sr_paddr_dat["&amp;A194&amp;"]   &lt;= 24'h0;"</f>
        <v xml:space="preserve">            sr_paddr_dat[21]   &lt;= 24'h0;</v>
      </c>
    </row>
    <row r="198" spans="1:2" x14ac:dyDescent="0.3">
      <c r="B198" t="s">
        <v>2</v>
      </c>
    </row>
    <row r="199" spans="1:2" x14ac:dyDescent="0.3">
      <c r="B199" t="str">
        <f>"           if (PADDR_CNT == 7'd"&amp;A194&amp;")"</f>
        <v xml:space="preserve">           if (PADDR_CNT == 7'd21)</v>
      </c>
    </row>
    <row r="200" spans="1:2" x14ac:dyDescent="0.3">
      <c r="B200" t="str">
        <f>"               sr_paddr_dat["&amp;A194&amp;"]  &lt;= sr_page_paddr_buf;"</f>
        <v xml:space="preserve">               sr_paddr_dat[21]  &lt;= sr_page_paddr_buf;</v>
      </c>
    </row>
    <row r="201" spans="1:2" x14ac:dyDescent="0.3">
      <c r="B201" t="s">
        <v>3</v>
      </c>
    </row>
    <row r="202" spans="1:2" x14ac:dyDescent="0.3">
      <c r="B202" t="str">
        <f>"               sr_paddr_dat["&amp;A194&amp;"]  &lt;= sr_paddr_dat["&amp;A194&amp;"];"</f>
        <v xml:space="preserve">               sr_paddr_dat[21]  &lt;= sr_paddr_dat[21];</v>
      </c>
    </row>
    <row r="203" spans="1:2" x14ac:dyDescent="0.3">
      <c r="B203" t="s">
        <v>4</v>
      </c>
    </row>
    <row r="204" spans="1:2" x14ac:dyDescent="0.3">
      <c r="B204" t="s">
        <v>5</v>
      </c>
    </row>
    <row r="206" spans="1:2" x14ac:dyDescent="0.3">
      <c r="A206">
        <f>A194+1</f>
        <v>22</v>
      </c>
      <c r="B206" t="str">
        <f>"    // Page Address Resister"&amp;A206</f>
        <v xml:space="preserve">    // Page Address Resister22</v>
      </c>
    </row>
    <row r="207" spans="1:2" x14ac:dyDescent="0.3">
      <c r="A207" t="str">
        <f>DEC2HEX(A206)</f>
        <v>16</v>
      </c>
      <c r="B207" t="s">
        <v>0</v>
      </c>
    </row>
    <row r="208" spans="1:2" x14ac:dyDescent="0.3">
      <c r="B208" t="s">
        <v>1</v>
      </c>
    </row>
    <row r="209" spans="1:2" x14ac:dyDescent="0.3">
      <c r="B209" t="str">
        <f>"            sr_paddr_dat["&amp;A206&amp;"]   &lt;= 24'h0;"</f>
        <v xml:space="preserve">            sr_paddr_dat[22]   &lt;= 24'h0;</v>
      </c>
    </row>
    <row r="210" spans="1:2" x14ac:dyDescent="0.3">
      <c r="B210" t="s">
        <v>2</v>
      </c>
    </row>
    <row r="211" spans="1:2" x14ac:dyDescent="0.3">
      <c r="B211" t="str">
        <f>"           if (PADDR_CNT == 7'd"&amp;A206&amp;")"</f>
        <v xml:space="preserve">           if (PADDR_CNT == 7'd22)</v>
      </c>
    </row>
    <row r="212" spans="1:2" x14ac:dyDescent="0.3">
      <c r="B212" t="str">
        <f>"               sr_paddr_dat["&amp;A206&amp;"]  &lt;= sr_page_paddr_buf;"</f>
        <v xml:space="preserve">               sr_paddr_dat[22]  &lt;= sr_page_paddr_buf;</v>
      </c>
    </row>
    <row r="213" spans="1:2" x14ac:dyDescent="0.3">
      <c r="B213" t="s">
        <v>3</v>
      </c>
    </row>
    <row r="214" spans="1:2" x14ac:dyDescent="0.3">
      <c r="B214" t="str">
        <f>"               sr_paddr_dat["&amp;A206&amp;"]  &lt;= sr_paddr_dat["&amp;A206&amp;"];"</f>
        <v xml:space="preserve">               sr_paddr_dat[22]  &lt;= sr_paddr_dat[22];</v>
      </c>
    </row>
    <row r="215" spans="1:2" x14ac:dyDescent="0.3">
      <c r="B215" t="s">
        <v>4</v>
      </c>
    </row>
    <row r="216" spans="1:2" x14ac:dyDescent="0.3">
      <c r="B216" t="s">
        <v>5</v>
      </c>
    </row>
    <row r="218" spans="1:2" x14ac:dyDescent="0.3">
      <c r="A218">
        <f>A206+1</f>
        <v>23</v>
      </c>
      <c r="B218" t="str">
        <f>"    // Page Address Resister"&amp;A218</f>
        <v xml:space="preserve">    // Page Address Resister23</v>
      </c>
    </row>
    <row r="219" spans="1:2" x14ac:dyDescent="0.3">
      <c r="A219" t="str">
        <f>DEC2HEX(A218)</f>
        <v>17</v>
      </c>
      <c r="B219" t="s">
        <v>0</v>
      </c>
    </row>
    <row r="220" spans="1:2" x14ac:dyDescent="0.3">
      <c r="B220" t="s">
        <v>1</v>
      </c>
    </row>
    <row r="221" spans="1:2" x14ac:dyDescent="0.3">
      <c r="B221" t="str">
        <f>"            sr_paddr_dat["&amp;A218&amp;"]   &lt;= 24'h0;"</f>
        <v xml:space="preserve">            sr_paddr_dat[23]   &lt;= 24'h0;</v>
      </c>
    </row>
    <row r="222" spans="1:2" x14ac:dyDescent="0.3">
      <c r="B222" t="s">
        <v>2</v>
      </c>
    </row>
    <row r="223" spans="1:2" x14ac:dyDescent="0.3">
      <c r="B223" t="str">
        <f>"           if (PADDR_CNT == 7'd"&amp;A218&amp;")"</f>
        <v xml:space="preserve">           if (PADDR_CNT == 7'd23)</v>
      </c>
    </row>
    <row r="224" spans="1:2" x14ac:dyDescent="0.3">
      <c r="B224" t="str">
        <f>"               sr_paddr_dat["&amp;A218&amp;"]  &lt;= sr_page_paddr_buf;"</f>
        <v xml:space="preserve">               sr_paddr_dat[23]  &lt;= sr_page_paddr_buf;</v>
      </c>
    </row>
    <row r="225" spans="1:2" x14ac:dyDescent="0.3">
      <c r="B225" t="s">
        <v>3</v>
      </c>
    </row>
    <row r="226" spans="1:2" x14ac:dyDescent="0.3">
      <c r="B226" t="str">
        <f>"               sr_paddr_dat["&amp;A218&amp;"]  &lt;= sr_paddr_dat["&amp;A218&amp;"];"</f>
        <v xml:space="preserve">               sr_paddr_dat[23]  &lt;= sr_paddr_dat[23];</v>
      </c>
    </row>
    <row r="227" spans="1:2" x14ac:dyDescent="0.3">
      <c r="B227" t="s">
        <v>4</v>
      </c>
    </row>
    <row r="228" spans="1:2" x14ac:dyDescent="0.3">
      <c r="B228" t="s">
        <v>5</v>
      </c>
    </row>
    <row r="230" spans="1:2" x14ac:dyDescent="0.3">
      <c r="A230">
        <f>A218+1</f>
        <v>24</v>
      </c>
      <c r="B230" t="str">
        <f>"    // Page Address Resister"&amp;A230</f>
        <v xml:space="preserve">    // Page Address Resister24</v>
      </c>
    </row>
    <row r="231" spans="1:2" x14ac:dyDescent="0.3">
      <c r="A231" t="str">
        <f>DEC2HEX(A230)</f>
        <v>18</v>
      </c>
      <c r="B231" t="s">
        <v>0</v>
      </c>
    </row>
    <row r="232" spans="1:2" x14ac:dyDescent="0.3">
      <c r="B232" t="s">
        <v>1</v>
      </c>
    </row>
    <row r="233" spans="1:2" x14ac:dyDescent="0.3">
      <c r="B233" t="str">
        <f>"            sr_paddr_dat["&amp;A230&amp;"]   &lt;= 24'h0;"</f>
        <v xml:space="preserve">            sr_paddr_dat[24]   &lt;= 24'h0;</v>
      </c>
    </row>
    <row r="234" spans="1:2" x14ac:dyDescent="0.3">
      <c r="B234" t="s">
        <v>2</v>
      </c>
    </row>
    <row r="235" spans="1:2" x14ac:dyDescent="0.3">
      <c r="B235" t="str">
        <f>"           if (PADDR_CNT == 7'd"&amp;A230&amp;")"</f>
        <v xml:space="preserve">           if (PADDR_CNT == 7'd24)</v>
      </c>
    </row>
    <row r="236" spans="1:2" x14ac:dyDescent="0.3">
      <c r="B236" t="str">
        <f>"               sr_paddr_dat["&amp;A230&amp;"]  &lt;= sr_page_paddr_buf;"</f>
        <v xml:space="preserve">               sr_paddr_dat[24]  &lt;= sr_page_paddr_buf;</v>
      </c>
    </row>
    <row r="237" spans="1:2" x14ac:dyDescent="0.3">
      <c r="B237" t="s">
        <v>3</v>
      </c>
    </row>
    <row r="238" spans="1:2" x14ac:dyDescent="0.3">
      <c r="B238" t="str">
        <f>"               sr_paddr_dat["&amp;A230&amp;"]  &lt;= sr_paddr_dat["&amp;A230&amp;"];"</f>
        <v xml:space="preserve">               sr_paddr_dat[24]  &lt;= sr_paddr_dat[24];</v>
      </c>
    </row>
    <row r="239" spans="1:2" x14ac:dyDescent="0.3">
      <c r="B239" t="s">
        <v>4</v>
      </c>
    </row>
    <row r="240" spans="1:2" x14ac:dyDescent="0.3">
      <c r="B240" t="s">
        <v>5</v>
      </c>
    </row>
    <row r="242" spans="1:2" x14ac:dyDescent="0.3">
      <c r="A242">
        <f>A230+1</f>
        <v>25</v>
      </c>
      <c r="B242" t="str">
        <f>"    // Page Address Resister"&amp;A242</f>
        <v xml:space="preserve">    // Page Address Resister25</v>
      </c>
    </row>
    <row r="243" spans="1:2" x14ac:dyDescent="0.3">
      <c r="A243" t="str">
        <f>DEC2HEX(A242)</f>
        <v>19</v>
      </c>
      <c r="B243" t="s">
        <v>0</v>
      </c>
    </row>
    <row r="244" spans="1:2" x14ac:dyDescent="0.3">
      <c r="B244" t="s">
        <v>1</v>
      </c>
    </row>
    <row r="245" spans="1:2" x14ac:dyDescent="0.3">
      <c r="B245" t="str">
        <f>"            sr_paddr_dat["&amp;A242&amp;"]   &lt;= 24'h0;"</f>
        <v xml:space="preserve">            sr_paddr_dat[25]   &lt;= 24'h0;</v>
      </c>
    </row>
    <row r="246" spans="1:2" x14ac:dyDescent="0.3">
      <c r="B246" t="s">
        <v>2</v>
      </c>
    </row>
    <row r="247" spans="1:2" x14ac:dyDescent="0.3">
      <c r="B247" t="str">
        <f>"           if (PADDR_CNT == 7'd"&amp;A242&amp;")"</f>
        <v xml:space="preserve">           if (PADDR_CNT == 7'd25)</v>
      </c>
    </row>
    <row r="248" spans="1:2" x14ac:dyDescent="0.3">
      <c r="B248" t="str">
        <f>"               sr_paddr_dat["&amp;A242&amp;"]  &lt;= sr_page_paddr_buf;"</f>
        <v xml:space="preserve">               sr_paddr_dat[25]  &lt;= sr_page_paddr_buf;</v>
      </c>
    </row>
    <row r="249" spans="1:2" x14ac:dyDescent="0.3">
      <c r="B249" t="s">
        <v>3</v>
      </c>
    </row>
    <row r="250" spans="1:2" x14ac:dyDescent="0.3">
      <c r="B250" t="str">
        <f>"               sr_paddr_dat["&amp;A242&amp;"]  &lt;= sr_paddr_dat["&amp;A242&amp;"];"</f>
        <v xml:space="preserve">               sr_paddr_dat[25]  &lt;= sr_paddr_dat[25];</v>
      </c>
    </row>
    <row r="251" spans="1:2" x14ac:dyDescent="0.3">
      <c r="B251" t="s">
        <v>4</v>
      </c>
    </row>
    <row r="252" spans="1:2" x14ac:dyDescent="0.3">
      <c r="B252" t="s">
        <v>5</v>
      </c>
    </row>
    <row r="254" spans="1:2" x14ac:dyDescent="0.3">
      <c r="A254">
        <f>A242+1</f>
        <v>26</v>
      </c>
      <c r="B254" t="str">
        <f>"    // Page Address Resister"&amp;A254</f>
        <v xml:space="preserve">    // Page Address Resister26</v>
      </c>
    </row>
    <row r="255" spans="1:2" x14ac:dyDescent="0.3">
      <c r="A255" t="str">
        <f>DEC2HEX(A254)</f>
        <v>1A</v>
      </c>
      <c r="B255" t="s">
        <v>0</v>
      </c>
    </row>
    <row r="256" spans="1:2" x14ac:dyDescent="0.3">
      <c r="B256" t="s">
        <v>1</v>
      </c>
    </row>
    <row r="257" spans="1:2" x14ac:dyDescent="0.3">
      <c r="B257" t="str">
        <f>"            sr_paddr_dat["&amp;A254&amp;"]   &lt;= 24'h0;"</f>
        <v xml:space="preserve">            sr_paddr_dat[26]   &lt;= 24'h0;</v>
      </c>
    </row>
    <row r="258" spans="1:2" x14ac:dyDescent="0.3">
      <c r="B258" t="s">
        <v>2</v>
      </c>
    </row>
    <row r="259" spans="1:2" x14ac:dyDescent="0.3">
      <c r="B259" t="str">
        <f>"           if (PADDR_CNT == 7'd"&amp;A254&amp;")"</f>
        <v xml:space="preserve">           if (PADDR_CNT == 7'd26)</v>
      </c>
    </row>
    <row r="260" spans="1:2" x14ac:dyDescent="0.3">
      <c r="B260" t="str">
        <f>"               sr_paddr_dat["&amp;A254&amp;"]  &lt;= sr_page_paddr_buf;"</f>
        <v xml:space="preserve">               sr_paddr_dat[26]  &lt;= sr_page_paddr_buf;</v>
      </c>
    </row>
    <row r="261" spans="1:2" x14ac:dyDescent="0.3">
      <c r="B261" t="s">
        <v>3</v>
      </c>
    </row>
    <row r="262" spans="1:2" x14ac:dyDescent="0.3">
      <c r="B262" t="str">
        <f>"               sr_paddr_dat["&amp;A254&amp;"]  &lt;= sr_paddr_dat["&amp;A254&amp;"];"</f>
        <v xml:space="preserve">               sr_paddr_dat[26]  &lt;= sr_paddr_dat[26];</v>
      </c>
    </row>
    <row r="263" spans="1:2" x14ac:dyDescent="0.3">
      <c r="B263" t="s">
        <v>4</v>
      </c>
    </row>
    <row r="264" spans="1:2" x14ac:dyDescent="0.3">
      <c r="B264" t="s">
        <v>5</v>
      </c>
    </row>
    <row r="266" spans="1:2" x14ac:dyDescent="0.3">
      <c r="A266">
        <f>A254+1</f>
        <v>27</v>
      </c>
      <c r="B266" t="str">
        <f>"    // Page Address Resister"&amp;A266</f>
        <v xml:space="preserve">    // Page Address Resister27</v>
      </c>
    </row>
    <row r="267" spans="1:2" x14ac:dyDescent="0.3">
      <c r="A267" t="str">
        <f>DEC2HEX(A266)</f>
        <v>1B</v>
      </c>
      <c r="B267" t="s">
        <v>0</v>
      </c>
    </row>
    <row r="268" spans="1:2" x14ac:dyDescent="0.3">
      <c r="B268" t="s">
        <v>1</v>
      </c>
    </row>
    <row r="269" spans="1:2" x14ac:dyDescent="0.3">
      <c r="B269" t="str">
        <f>"            sr_paddr_dat["&amp;A266&amp;"]   &lt;= 24'h0;"</f>
        <v xml:space="preserve">            sr_paddr_dat[27]   &lt;= 24'h0;</v>
      </c>
    </row>
    <row r="270" spans="1:2" x14ac:dyDescent="0.3">
      <c r="B270" t="s">
        <v>2</v>
      </c>
    </row>
    <row r="271" spans="1:2" x14ac:dyDescent="0.3">
      <c r="B271" t="str">
        <f>"           if (PADDR_CNT == 7'd"&amp;A266&amp;")"</f>
        <v xml:space="preserve">           if (PADDR_CNT == 7'd27)</v>
      </c>
    </row>
    <row r="272" spans="1:2" x14ac:dyDescent="0.3">
      <c r="B272" t="str">
        <f>"               sr_paddr_dat["&amp;A266&amp;"]  &lt;= sr_page_paddr_buf;"</f>
        <v xml:space="preserve">               sr_paddr_dat[27]  &lt;= sr_page_paddr_buf;</v>
      </c>
    </row>
    <row r="273" spans="1:2" x14ac:dyDescent="0.3">
      <c r="B273" t="s">
        <v>3</v>
      </c>
    </row>
    <row r="274" spans="1:2" x14ac:dyDescent="0.3">
      <c r="B274" t="str">
        <f>"               sr_paddr_dat["&amp;A266&amp;"]  &lt;= sr_paddr_dat["&amp;A266&amp;"];"</f>
        <v xml:space="preserve">               sr_paddr_dat[27]  &lt;= sr_paddr_dat[27];</v>
      </c>
    </row>
    <row r="275" spans="1:2" x14ac:dyDescent="0.3">
      <c r="B275" t="s">
        <v>4</v>
      </c>
    </row>
    <row r="276" spans="1:2" x14ac:dyDescent="0.3">
      <c r="B276" t="s">
        <v>5</v>
      </c>
    </row>
    <row r="278" spans="1:2" x14ac:dyDescent="0.3">
      <c r="A278">
        <f>A266+1</f>
        <v>28</v>
      </c>
      <c r="B278" t="str">
        <f>"    // Page Address Resister"&amp;A278</f>
        <v xml:space="preserve">    // Page Address Resister28</v>
      </c>
    </row>
    <row r="279" spans="1:2" x14ac:dyDescent="0.3">
      <c r="A279" t="str">
        <f>DEC2HEX(A278)</f>
        <v>1C</v>
      </c>
      <c r="B279" t="s">
        <v>0</v>
      </c>
    </row>
    <row r="280" spans="1:2" x14ac:dyDescent="0.3">
      <c r="B280" t="s">
        <v>1</v>
      </c>
    </row>
    <row r="281" spans="1:2" x14ac:dyDescent="0.3">
      <c r="B281" t="str">
        <f>"            sr_paddr_dat["&amp;A278&amp;"]   &lt;= 24'h0;"</f>
        <v xml:space="preserve">            sr_paddr_dat[28]   &lt;= 24'h0;</v>
      </c>
    </row>
    <row r="282" spans="1:2" x14ac:dyDescent="0.3">
      <c r="B282" t="s">
        <v>2</v>
      </c>
    </row>
    <row r="283" spans="1:2" x14ac:dyDescent="0.3">
      <c r="B283" t="str">
        <f>"           if (PADDR_CNT == 7'd"&amp;A278&amp;")"</f>
        <v xml:space="preserve">           if (PADDR_CNT == 7'd28)</v>
      </c>
    </row>
    <row r="284" spans="1:2" x14ac:dyDescent="0.3">
      <c r="B284" t="str">
        <f>"               sr_paddr_dat["&amp;A278&amp;"]  &lt;= sr_page_paddr_buf;"</f>
        <v xml:space="preserve">               sr_paddr_dat[28]  &lt;= sr_page_paddr_buf;</v>
      </c>
    </row>
    <row r="285" spans="1:2" x14ac:dyDescent="0.3">
      <c r="B285" t="s">
        <v>3</v>
      </c>
    </row>
    <row r="286" spans="1:2" x14ac:dyDescent="0.3">
      <c r="B286" t="str">
        <f>"               sr_paddr_dat["&amp;A278&amp;"]  &lt;= sr_paddr_dat["&amp;A278&amp;"];"</f>
        <v xml:space="preserve">               sr_paddr_dat[28]  &lt;= sr_paddr_dat[28];</v>
      </c>
    </row>
    <row r="287" spans="1:2" x14ac:dyDescent="0.3">
      <c r="B287" t="s">
        <v>4</v>
      </c>
    </row>
    <row r="288" spans="1:2" x14ac:dyDescent="0.3">
      <c r="B288" t="s">
        <v>5</v>
      </c>
    </row>
    <row r="290" spans="1:2" x14ac:dyDescent="0.3">
      <c r="A290">
        <f>A278+1</f>
        <v>29</v>
      </c>
      <c r="B290" t="str">
        <f>"    // Page Address Resister"&amp;A290</f>
        <v xml:space="preserve">    // Page Address Resister29</v>
      </c>
    </row>
    <row r="291" spans="1:2" x14ac:dyDescent="0.3">
      <c r="A291" t="str">
        <f>DEC2HEX(A290)</f>
        <v>1D</v>
      </c>
      <c r="B291" t="s">
        <v>0</v>
      </c>
    </row>
    <row r="292" spans="1:2" x14ac:dyDescent="0.3">
      <c r="B292" t="s">
        <v>1</v>
      </c>
    </row>
    <row r="293" spans="1:2" x14ac:dyDescent="0.3">
      <c r="B293" t="str">
        <f>"            sr_paddr_dat["&amp;A290&amp;"]   &lt;= 24'h0;"</f>
        <v xml:space="preserve">            sr_paddr_dat[29]   &lt;= 24'h0;</v>
      </c>
    </row>
    <row r="294" spans="1:2" x14ac:dyDescent="0.3">
      <c r="B294" t="s">
        <v>2</v>
      </c>
    </row>
    <row r="295" spans="1:2" x14ac:dyDescent="0.3">
      <c r="B295" t="str">
        <f>"           if (PADDR_CNT == 7'd"&amp;A290&amp;")"</f>
        <v xml:space="preserve">           if (PADDR_CNT == 7'd29)</v>
      </c>
    </row>
    <row r="296" spans="1:2" x14ac:dyDescent="0.3">
      <c r="B296" t="str">
        <f>"               sr_paddr_dat["&amp;A290&amp;"]  &lt;= sr_page_paddr_buf;"</f>
        <v xml:space="preserve">               sr_paddr_dat[29]  &lt;= sr_page_paddr_buf;</v>
      </c>
    </row>
    <row r="297" spans="1:2" x14ac:dyDescent="0.3">
      <c r="B297" t="s">
        <v>3</v>
      </c>
    </row>
    <row r="298" spans="1:2" x14ac:dyDescent="0.3">
      <c r="B298" t="str">
        <f>"               sr_paddr_dat["&amp;A290&amp;"]  &lt;= sr_paddr_dat["&amp;A290&amp;"];"</f>
        <v xml:space="preserve">               sr_paddr_dat[29]  &lt;= sr_paddr_dat[29];</v>
      </c>
    </row>
    <row r="299" spans="1:2" x14ac:dyDescent="0.3">
      <c r="B299" t="s">
        <v>4</v>
      </c>
    </row>
    <row r="300" spans="1:2" x14ac:dyDescent="0.3">
      <c r="B300" t="s">
        <v>5</v>
      </c>
    </row>
    <row r="302" spans="1:2" x14ac:dyDescent="0.3">
      <c r="A302">
        <f>A290+1</f>
        <v>30</v>
      </c>
      <c r="B302" t="str">
        <f>"    // Page Address Resister"&amp;A302</f>
        <v xml:space="preserve">    // Page Address Resister30</v>
      </c>
    </row>
    <row r="303" spans="1:2" x14ac:dyDescent="0.3">
      <c r="A303" t="str">
        <f>DEC2HEX(A302)</f>
        <v>1E</v>
      </c>
      <c r="B303" t="s">
        <v>0</v>
      </c>
    </row>
    <row r="304" spans="1:2" x14ac:dyDescent="0.3">
      <c r="B304" t="s">
        <v>1</v>
      </c>
    </row>
    <row r="305" spans="1:2" x14ac:dyDescent="0.3">
      <c r="B305" t="str">
        <f>"            sr_paddr_dat["&amp;A302&amp;"]   &lt;= 24'h0;"</f>
        <v xml:space="preserve">            sr_paddr_dat[30]   &lt;= 24'h0;</v>
      </c>
    </row>
    <row r="306" spans="1:2" x14ac:dyDescent="0.3">
      <c r="B306" t="s">
        <v>2</v>
      </c>
    </row>
    <row r="307" spans="1:2" x14ac:dyDescent="0.3">
      <c r="B307" t="str">
        <f>"           if (PADDR_CNT == 7'd"&amp;A302&amp;")"</f>
        <v xml:space="preserve">           if (PADDR_CNT == 7'd30)</v>
      </c>
    </row>
    <row r="308" spans="1:2" x14ac:dyDescent="0.3">
      <c r="B308" t="str">
        <f>"               sr_paddr_dat["&amp;A302&amp;"]  &lt;= sr_page_paddr_buf;"</f>
        <v xml:space="preserve">               sr_paddr_dat[30]  &lt;= sr_page_paddr_buf;</v>
      </c>
    </row>
    <row r="309" spans="1:2" x14ac:dyDescent="0.3">
      <c r="B309" t="s">
        <v>3</v>
      </c>
    </row>
    <row r="310" spans="1:2" x14ac:dyDescent="0.3">
      <c r="B310" t="str">
        <f>"               sr_paddr_dat["&amp;A302&amp;"]  &lt;= sr_paddr_dat["&amp;A302&amp;"];"</f>
        <v xml:space="preserve">               sr_paddr_dat[30]  &lt;= sr_paddr_dat[30];</v>
      </c>
    </row>
    <row r="311" spans="1:2" x14ac:dyDescent="0.3">
      <c r="B311" t="s">
        <v>4</v>
      </c>
    </row>
    <row r="312" spans="1:2" x14ac:dyDescent="0.3">
      <c r="B312" t="s">
        <v>5</v>
      </c>
    </row>
    <row r="314" spans="1:2" x14ac:dyDescent="0.3">
      <c r="A314">
        <f>A302+1</f>
        <v>31</v>
      </c>
      <c r="B314" t="str">
        <f>"    // Page Address Resister"&amp;A314</f>
        <v xml:space="preserve">    // Page Address Resister31</v>
      </c>
    </row>
    <row r="315" spans="1:2" x14ac:dyDescent="0.3">
      <c r="A315" t="str">
        <f>DEC2HEX(A314)</f>
        <v>1F</v>
      </c>
      <c r="B315" t="s">
        <v>0</v>
      </c>
    </row>
    <row r="316" spans="1:2" x14ac:dyDescent="0.3">
      <c r="B316" t="s">
        <v>1</v>
      </c>
    </row>
    <row r="317" spans="1:2" x14ac:dyDescent="0.3">
      <c r="B317" t="str">
        <f>"            sr_paddr_dat["&amp;A314&amp;"]   &lt;= 24'h0;"</f>
        <v xml:space="preserve">            sr_paddr_dat[31]   &lt;= 24'h0;</v>
      </c>
    </row>
    <row r="318" spans="1:2" x14ac:dyDescent="0.3">
      <c r="B318" t="s">
        <v>2</v>
      </c>
    </row>
    <row r="319" spans="1:2" x14ac:dyDescent="0.3">
      <c r="B319" t="str">
        <f>"           if (PADDR_CNT == 7'd"&amp;A314&amp;")"</f>
        <v xml:space="preserve">           if (PADDR_CNT == 7'd31)</v>
      </c>
    </row>
    <row r="320" spans="1:2" x14ac:dyDescent="0.3">
      <c r="B320" t="str">
        <f>"               sr_paddr_dat["&amp;A314&amp;"]  &lt;= sr_page_paddr_buf;"</f>
        <v xml:space="preserve">               sr_paddr_dat[31]  &lt;= sr_page_paddr_buf;</v>
      </c>
    </row>
    <row r="321" spans="1:2" x14ac:dyDescent="0.3">
      <c r="B321" t="s">
        <v>3</v>
      </c>
    </row>
    <row r="322" spans="1:2" x14ac:dyDescent="0.3">
      <c r="B322" t="str">
        <f>"               sr_paddr_dat["&amp;A314&amp;"]  &lt;= sr_paddr_dat["&amp;A314&amp;"];"</f>
        <v xml:space="preserve">               sr_paddr_dat[31]  &lt;= sr_paddr_dat[31];</v>
      </c>
    </row>
    <row r="323" spans="1:2" x14ac:dyDescent="0.3">
      <c r="B323" t="s">
        <v>4</v>
      </c>
    </row>
    <row r="324" spans="1:2" x14ac:dyDescent="0.3">
      <c r="B324" t="s">
        <v>5</v>
      </c>
    </row>
    <row r="326" spans="1:2" x14ac:dyDescent="0.3">
      <c r="A326">
        <f>A314+1</f>
        <v>32</v>
      </c>
      <c r="B326" t="str">
        <f>"    // Page Address Resister"&amp;A326</f>
        <v xml:space="preserve">    // Page Address Resister32</v>
      </c>
    </row>
    <row r="327" spans="1:2" x14ac:dyDescent="0.3">
      <c r="A327" t="str">
        <f>DEC2HEX(A326)</f>
        <v>20</v>
      </c>
      <c r="B327" t="s">
        <v>0</v>
      </c>
    </row>
    <row r="328" spans="1:2" x14ac:dyDescent="0.3">
      <c r="B328" t="s">
        <v>1</v>
      </c>
    </row>
    <row r="329" spans="1:2" x14ac:dyDescent="0.3">
      <c r="B329" t="str">
        <f>"            sr_paddr_dat["&amp;A326&amp;"]   &lt;= 24'h0;"</f>
        <v xml:space="preserve">            sr_paddr_dat[32]   &lt;= 24'h0;</v>
      </c>
    </row>
    <row r="330" spans="1:2" x14ac:dyDescent="0.3">
      <c r="B330" t="s">
        <v>2</v>
      </c>
    </row>
    <row r="331" spans="1:2" x14ac:dyDescent="0.3">
      <c r="B331" t="str">
        <f>"           if (PADDR_CNT == 7'd"&amp;A326&amp;")"</f>
        <v xml:space="preserve">           if (PADDR_CNT == 7'd32)</v>
      </c>
    </row>
    <row r="332" spans="1:2" x14ac:dyDescent="0.3">
      <c r="B332" t="str">
        <f>"               sr_paddr_dat["&amp;A326&amp;"]  &lt;= sr_page_paddr_buf;"</f>
        <v xml:space="preserve">               sr_paddr_dat[32]  &lt;= sr_page_paddr_buf;</v>
      </c>
    </row>
    <row r="333" spans="1:2" x14ac:dyDescent="0.3">
      <c r="B333" t="s">
        <v>3</v>
      </c>
    </row>
    <row r="334" spans="1:2" x14ac:dyDescent="0.3">
      <c r="B334" t="str">
        <f>"               sr_paddr_dat["&amp;A326&amp;"]  &lt;= sr_paddr_dat["&amp;A326&amp;"];"</f>
        <v xml:space="preserve">               sr_paddr_dat[32]  &lt;= sr_paddr_dat[32];</v>
      </c>
    </row>
    <row r="335" spans="1:2" x14ac:dyDescent="0.3">
      <c r="B335" t="s">
        <v>4</v>
      </c>
    </row>
    <row r="336" spans="1:2" x14ac:dyDescent="0.3">
      <c r="B336" t="s">
        <v>5</v>
      </c>
    </row>
    <row r="338" spans="1:2" x14ac:dyDescent="0.3">
      <c r="A338">
        <f>A326+1</f>
        <v>33</v>
      </c>
      <c r="B338" t="str">
        <f>"    // Page Address Resister"&amp;A338</f>
        <v xml:space="preserve">    // Page Address Resister33</v>
      </c>
    </row>
    <row r="339" spans="1:2" x14ac:dyDescent="0.3">
      <c r="A339" t="str">
        <f>DEC2HEX(A338)</f>
        <v>21</v>
      </c>
      <c r="B339" t="s">
        <v>0</v>
      </c>
    </row>
    <row r="340" spans="1:2" x14ac:dyDescent="0.3">
      <c r="B340" t="s">
        <v>1</v>
      </c>
    </row>
    <row r="341" spans="1:2" x14ac:dyDescent="0.3">
      <c r="B341" t="str">
        <f>"            sr_paddr_dat["&amp;A338&amp;"]   &lt;= 24'h0;"</f>
        <v xml:space="preserve">            sr_paddr_dat[33]   &lt;= 24'h0;</v>
      </c>
    </row>
    <row r="342" spans="1:2" x14ac:dyDescent="0.3">
      <c r="B342" t="s">
        <v>2</v>
      </c>
    </row>
    <row r="343" spans="1:2" x14ac:dyDescent="0.3">
      <c r="B343" t="str">
        <f>"           if (PADDR_CNT == 7'd"&amp;A338&amp;")"</f>
        <v xml:space="preserve">           if (PADDR_CNT == 7'd33)</v>
      </c>
    </row>
    <row r="344" spans="1:2" x14ac:dyDescent="0.3">
      <c r="B344" t="str">
        <f>"               sr_paddr_dat["&amp;A338&amp;"]  &lt;= sr_page_paddr_buf;"</f>
        <v xml:space="preserve">               sr_paddr_dat[33]  &lt;= sr_page_paddr_buf;</v>
      </c>
    </row>
    <row r="345" spans="1:2" x14ac:dyDescent="0.3">
      <c r="B345" t="s">
        <v>3</v>
      </c>
    </row>
    <row r="346" spans="1:2" x14ac:dyDescent="0.3">
      <c r="B346" t="str">
        <f>"               sr_paddr_dat["&amp;A338&amp;"]  &lt;= sr_paddr_dat["&amp;A338&amp;"];"</f>
        <v xml:space="preserve">               sr_paddr_dat[33]  &lt;= sr_paddr_dat[33];</v>
      </c>
    </row>
    <row r="347" spans="1:2" x14ac:dyDescent="0.3">
      <c r="B347" t="s">
        <v>4</v>
      </c>
    </row>
    <row r="348" spans="1:2" x14ac:dyDescent="0.3">
      <c r="B348" t="s">
        <v>5</v>
      </c>
    </row>
    <row r="350" spans="1:2" x14ac:dyDescent="0.3">
      <c r="A350">
        <f>A338+1</f>
        <v>34</v>
      </c>
      <c r="B350" t="str">
        <f>"    // Page Address Resister"&amp;A350</f>
        <v xml:space="preserve">    // Page Address Resister34</v>
      </c>
    </row>
    <row r="351" spans="1:2" x14ac:dyDescent="0.3">
      <c r="A351" t="str">
        <f>DEC2HEX(A350)</f>
        <v>22</v>
      </c>
      <c r="B351" t="s">
        <v>0</v>
      </c>
    </row>
    <row r="352" spans="1:2" x14ac:dyDescent="0.3">
      <c r="B352" t="s">
        <v>1</v>
      </c>
    </row>
    <row r="353" spans="1:2" x14ac:dyDescent="0.3">
      <c r="B353" t="str">
        <f>"            sr_paddr_dat["&amp;A350&amp;"]   &lt;= 24'h0;"</f>
        <v xml:space="preserve">            sr_paddr_dat[34]   &lt;= 24'h0;</v>
      </c>
    </row>
    <row r="354" spans="1:2" x14ac:dyDescent="0.3">
      <c r="B354" t="s">
        <v>2</v>
      </c>
    </row>
    <row r="355" spans="1:2" x14ac:dyDescent="0.3">
      <c r="B355" t="str">
        <f>"           if (PADDR_CNT == 7'd"&amp;A350&amp;")"</f>
        <v xml:space="preserve">           if (PADDR_CNT == 7'd34)</v>
      </c>
    </row>
    <row r="356" spans="1:2" x14ac:dyDescent="0.3">
      <c r="B356" t="str">
        <f>"               sr_paddr_dat["&amp;A350&amp;"]  &lt;= sr_page_paddr_buf;"</f>
        <v xml:space="preserve">               sr_paddr_dat[34]  &lt;= sr_page_paddr_buf;</v>
      </c>
    </row>
    <row r="357" spans="1:2" x14ac:dyDescent="0.3">
      <c r="B357" t="s">
        <v>3</v>
      </c>
    </row>
    <row r="358" spans="1:2" x14ac:dyDescent="0.3">
      <c r="B358" t="str">
        <f>"               sr_paddr_dat["&amp;A350&amp;"]  &lt;= sr_paddr_dat["&amp;A350&amp;"];"</f>
        <v xml:space="preserve">               sr_paddr_dat[34]  &lt;= sr_paddr_dat[34];</v>
      </c>
    </row>
    <row r="359" spans="1:2" x14ac:dyDescent="0.3">
      <c r="B359" t="s">
        <v>4</v>
      </c>
    </row>
    <row r="360" spans="1:2" x14ac:dyDescent="0.3">
      <c r="B360" t="s">
        <v>5</v>
      </c>
    </row>
    <row r="362" spans="1:2" x14ac:dyDescent="0.3">
      <c r="A362">
        <f>A350+1</f>
        <v>35</v>
      </c>
      <c r="B362" t="str">
        <f>"    // Page Address Resister"&amp;A362</f>
        <v xml:space="preserve">    // Page Address Resister35</v>
      </c>
    </row>
    <row r="363" spans="1:2" x14ac:dyDescent="0.3">
      <c r="A363" t="str">
        <f>DEC2HEX(A362)</f>
        <v>23</v>
      </c>
      <c r="B363" t="s">
        <v>0</v>
      </c>
    </row>
    <row r="364" spans="1:2" x14ac:dyDescent="0.3">
      <c r="B364" t="s">
        <v>1</v>
      </c>
    </row>
    <row r="365" spans="1:2" x14ac:dyDescent="0.3">
      <c r="B365" t="str">
        <f>"            sr_paddr_dat["&amp;A362&amp;"]   &lt;= 24'h0;"</f>
        <v xml:space="preserve">            sr_paddr_dat[35]   &lt;= 24'h0;</v>
      </c>
    </row>
    <row r="366" spans="1:2" x14ac:dyDescent="0.3">
      <c r="B366" t="s">
        <v>2</v>
      </c>
    </row>
    <row r="367" spans="1:2" x14ac:dyDescent="0.3">
      <c r="B367" t="str">
        <f>"           if (PADDR_CNT == 7'd"&amp;A362&amp;")"</f>
        <v xml:space="preserve">           if (PADDR_CNT == 7'd35)</v>
      </c>
    </row>
    <row r="368" spans="1:2" x14ac:dyDescent="0.3">
      <c r="B368" t="str">
        <f>"               sr_paddr_dat["&amp;A362&amp;"]  &lt;= sr_page_paddr_buf;"</f>
        <v xml:space="preserve">               sr_paddr_dat[35]  &lt;= sr_page_paddr_buf;</v>
      </c>
    </row>
    <row r="369" spans="1:2" x14ac:dyDescent="0.3">
      <c r="B369" t="s">
        <v>3</v>
      </c>
    </row>
    <row r="370" spans="1:2" x14ac:dyDescent="0.3">
      <c r="B370" t="str">
        <f>"               sr_paddr_dat["&amp;A362&amp;"]  &lt;= sr_paddr_dat["&amp;A362&amp;"];"</f>
        <v xml:space="preserve">               sr_paddr_dat[35]  &lt;= sr_paddr_dat[35];</v>
      </c>
    </row>
    <row r="371" spans="1:2" x14ac:dyDescent="0.3">
      <c r="B371" t="s">
        <v>4</v>
      </c>
    </row>
    <row r="372" spans="1:2" x14ac:dyDescent="0.3">
      <c r="B372" t="s">
        <v>5</v>
      </c>
    </row>
    <row r="374" spans="1:2" x14ac:dyDescent="0.3">
      <c r="A374">
        <f>A362+1</f>
        <v>36</v>
      </c>
      <c r="B374" t="str">
        <f>"    // Page Address Resister"&amp;A374</f>
        <v xml:space="preserve">    // Page Address Resister36</v>
      </c>
    </row>
    <row r="375" spans="1:2" x14ac:dyDescent="0.3">
      <c r="A375" t="str">
        <f>DEC2HEX(A374)</f>
        <v>24</v>
      </c>
      <c r="B375" t="s">
        <v>0</v>
      </c>
    </row>
    <row r="376" spans="1:2" x14ac:dyDescent="0.3">
      <c r="B376" t="s">
        <v>1</v>
      </c>
    </row>
    <row r="377" spans="1:2" x14ac:dyDescent="0.3">
      <c r="B377" t="str">
        <f>"            sr_paddr_dat["&amp;A374&amp;"]   &lt;= 24'h0;"</f>
        <v xml:space="preserve">            sr_paddr_dat[36]   &lt;= 24'h0;</v>
      </c>
    </row>
    <row r="378" spans="1:2" x14ac:dyDescent="0.3">
      <c r="B378" t="s">
        <v>2</v>
      </c>
    </row>
    <row r="379" spans="1:2" x14ac:dyDescent="0.3">
      <c r="B379" t="str">
        <f>"           if (PADDR_CNT == 7'd"&amp;A374&amp;")"</f>
        <v xml:space="preserve">           if (PADDR_CNT == 7'd36)</v>
      </c>
    </row>
    <row r="380" spans="1:2" x14ac:dyDescent="0.3">
      <c r="B380" t="str">
        <f>"               sr_paddr_dat["&amp;A374&amp;"]  &lt;= sr_page_paddr_buf;"</f>
        <v xml:space="preserve">               sr_paddr_dat[36]  &lt;= sr_page_paddr_buf;</v>
      </c>
    </row>
    <row r="381" spans="1:2" x14ac:dyDescent="0.3">
      <c r="B381" t="s">
        <v>3</v>
      </c>
    </row>
    <row r="382" spans="1:2" x14ac:dyDescent="0.3">
      <c r="B382" t="str">
        <f>"               sr_paddr_dat["&amp;A374&amp;"]  &lt;= sr_paddr_dat["&amp;A374&amp;"];"</f>
        <v xml:space="preserve">               sr_paddr_dat[36]  &lt;= sr_paddr_dat[36];</v>
      </c>
    </row>
    <row r="383" spans="1:2" x14ac:dyDescent="0.3">
      <c r="B383" t="s">
        <v>4</v>
      </c>
    </row>
    <row r="384" spans="1:2" x14ac:dyDescent="0.3">
      <c r="B384" t="s">
        <v>5</v>
      </c>
    </row>
    <row r="386" spans="1:2" x14ac:dyDescent="0.3">
      <c r="A386">
        <f>A374+1</f>
        <v>37</v>
      </c>
      <c r="B386" t="str">
        <f>"    // Page Address Resister"&amp;A386</f>
        <v xml:space="preserve">    // Page Address Resister37</v>
      </c>
    </row>
    <row r="387" spans="1:2" x14ac:dyDescent="0.3">
      <c r="A387" t="str">
        <f>DEC2HEX(A386)</f>
        <v>25</v>
      </c>
      <c r="B387" t="s">
        <v>0</v>
      </c>
    </row>
    <row r="388" spans="1:2" x14ac:dyDescent="0.3">
      <c r="B388" t="s">
        <v>1</v>
      </c>
    </row>
    <row r="389" spans="1:2" x14ac:dyDescent="0.3">
      <c r="B389" t="str">
        <f>"            sr_paddr_dat["&amp;A386&amp;"]   &lt;= 24'h0;"</f>
        <v xml:space="preserve">            sr_paddr_dat[37]   &lt;= 24'h0;</v>
      </c>
    </row>
    <row r="390" spans="1:2" x14ac:dyDescent="0.3">
      <c r="B390" t="s">
        <v>2</v>
      </c>
    </row>
    <row r="391" spans="1:2" x14ac:dyDescent="0.3">
      <c r="B391" t="str">
        <f>"           if (PADDR_CNT == 7'd"&amp;A386&amp;")"</f>
        <v xml:space="preserve">           if (PADDR_CNT == 7'd37)</v>
      </c>
    </row>
    <row r="392" spans="1:2" x14ac:dyDescent="0.3">
      <c r="B392" t="str">
        <f>"               sr_paddr_dat["&amp;A386&amp;"]  &lt;= sr_page_paddr_buf;"</f>
        <v xml:space="preserve">               sr_paddr_dat[37]  &lt;= sr_page_paddr_buf;</v>
      </c>
    </row>
    <row r="393" spans="1:2" x14ac:dyDescent="0.3">
      <c r="B393" t="s">
        <v>3</v>
      </c>
    </row>
    <row r="394" spans="1:2" x14ac:dyDescent="0.3">
      <c r="B394" t="str">
        <f>"               sr_paddr_dat["&amp;A386&amp;"]  &lt;= sr_paddr_dat["&amp;A386&amp;"];"</f>
        <v xml:space="preserve">               sr_paddr_dat[37]  &lt;= sr_paddr_dat[37];</v>
      </c>
    </row>
    <row r="395" spans="1:2" x14ac:dyDescent="0.3">
      <c r="B395" t="s">
        <v>4</v>
      </c>
    </row>
    <row r="396" spans="1:2" x14ac:dyDescent="0.3">
      <c r="B396" t="s">
        <v>5</v>
      </c>
    </row>
    <row r="398" spans="1:2" x14ac:dyDescent="0.3">
      <c r="A398">
        <f>A386+1</f>
        <v>38</v>
      </c>
      <c r="B398" t="str">
        <f>"    // Page Address Resister"&amp;A398</f>
        <v xml:space="preserve">    // Page Address Resister38</v>
      </c>
    </row>
    <row r="399" spans="1:2" x14ac:dyDescent="0.3">
      <c r="A399" t="str">
        <f>DEC2HEX(A398)</f>
        <v>26</v>
      </c>
      <c r="B399" t="s">
        <v>0</v>
      </c>
    </row>
    <row r="400" spans="1:2" x14ac:dyDescent="0.3">
      <c r="B400" t="s">
        <v>1</v>
      </c>
    </row>
    <row r="401" spans="1:2" x14ac:dyDescent="0.3">
      <c r="B401" t="str">
        <f>"            sr_paddr_dat["&amp;A398&amp;"]   &lt;= 24'h0;"</f>
        <v xml:space="preserve">            sr_paddr_dat[38]   &lt;= 24'h0;</v>
      </c>
    </row>
    <row r="402" spans="1:2" x14ac:dyDescent="0.3">
      <c r="B402" t="s">
        <v>2</v>
      </c>
    </row>
    <row r="403" spans="1:2" x14ac:dyDescent="0.3">
      <c r="B403" t="str">
        <f>"           if (PADDR_CNT == 7'd"&amp;A398&amp;")"</f>
        <v xml:space="preserve">           if (PADDR_CNT == 7'd38)</v>
      </c>
    </row>
    <row r="404" spans="1:2" x14ac:dyDescent="0.3">
      <c r="B404" t="str">
        <f>"               sr_paddr_dat["&amp;A398&amp;"]  &lt;= sr_page_paddr_buf;"</f>
        <v xml:space="preserve">               sr_paddr_dat[38]  &lt;= sr_page_paddr_buf;</v>
      </c>
    </row>
    <row r="405" spans="1:2" x14ac:dyDescent="0.3">
      <c r="B405" t="s">
        <v>3</v>
      </c>
    </row>
    <row r="406" spans="1:2" x14ac:dyDescent="0.3">
      <c r="B406" t="str">
        <f>"               sr_paddr_dat["&amp;A398&amp;"]  &lt;= sr_paddr_dat["&amp;A398&amp;"];"</f>
        <v xml:space="preserve">               sr_paddr_dat[38]  &lt;= sr_paddr_dat[38];</v>
      </c>
    </row>
    <row r="407" spans="1:2" x14ac:dyDescent="0.3">
      <c r="B407" t="s">
        <v>4</v>
      </c>
    </row>
    <row r="408" spans="1:2" x14ac:dyDescent="0.3">
      <c r="B408" t="s">
        <v>5</v>
      </c>
    </row>
    <row r="410" spans="1:2" x14ac:dyDescent="0.3">
      <c r="A410">
        <f>A398+1</f>
        <v>39</v>
      </c>
      <c r="B410" t="str">
        <f>"    // Page Address Resister"&amp;A410</f>
        <v xml:space="preserve">    // Page Address Resister39</v>
      </c>
    </row>
    <row r="411" spans="1:2" x14ac:dyDescent="0.3">
      <c r="A411" t="str">
        <f>DEC2HEX(A410)</f>
        <v>27</v>
      </c>
      <c r="B411" t="s">
        <v>0</v>
      </c>
    </row>
    <row r="412" spans="1:2" x14ac:dyDescent="0.3">
      <c r="B412" t="s">
        <v>1</v>
      </c>
    </row>
    <row r="413" spans="1:2" x14ac:dyDescent="0.3">
      <c r="B413" t="str">
        <f>"            sr_paddr_dat["&amp;A410&amp;"]   &lt;= 24'h0;"</f>
        <v xml:space="preserve">            sr_paddr_dat[39]   &lt;= 24'h0;</v>
      </c>
    </row>
    <row r="414" spans="1:2" x14ac:dyDescent="0.3">
      <c r="B414" t="s">
        <v>2</v>
      </c>
    </row>
    <row r="415" spans="1:2" x14ac:dyDescent="0.3">
      <c r="B415" t="str">
        <f>"           if (PADDR_CNT == 7'd"&amp;A410&amp;")"</f>
        <v xml:space="preserve">           if (PADDR_CNT == 7'd39)</v>
      </c>
    </row>
    <row r="416" spans="1:2" x14ac:dyDescent="0.3">
      <c r="B416" t="str">
        <f>"               sr_paddr_dat["&amp;A410&amp;"]  &lt;= sr_page_paddr_buf;"</f>
        <v xml:space="preserve">               sr_paddr_dat[39]  &lt;= sr_page_paddr_buf;</v>
      </c>
    </row>
    <row r="417" spans="1:2" x14ac:dyDescent="0.3">
      <c r="B417" t="s">
        <v>3</v>
      </c>
    </row>
    <row r="418" spans="1:2" x14ac:dyDescent="0.3">
      <c r="B418" t="str">
        <f>"               sr_paddr_dat["&amp;A410&amp;"]  &lt;= sr_paddr_dat["&amp;A410&amp;"];"</f>
        <v xml:space="preserve">               sr_paddr_dat[39]  &lt;= sr_paddr_dat[39];</v>
      </c>
    </row>
    <row r="419" spans="1:2" x14ac:dyDescent="0.3">
      <c r="B419" t="s">
        <v>4</v>
      </c>
    </row>
    <row r="420" spans="1:2" x14ac:dyDescent="0.3">
      <c r="B420" t="s">
        <v>5</v>
      </c>
    </row>
    <row r="422" spans="1:2" x14ac:dyDescent="0.3">
      <c r="A422">
        <f>A410+1</f>
        <v>40</v>
      </c>
      <c r="B422" t="str">
        <f>"    // Page Address Resister"&amp;A422</f>
        <v xml:space="preserve">    // Page Address Resister40</v>
      </c>
    </row>
    <row r="423" spans="1:2" x14ac:dyDescent="0.3">
      <c r="A423" t="str">
        <f>DEC2HEX(A422)</f>
        <v>28</v>
      </c>
      <c r="B423" t="s">
        <v>0</v>
      </c>
    </row>
    <row r="424" spans="1:2" x14ac:dyDescent="0.3">
      <c r="B424" t="s">
        <v>1</v>
      </c>
    </row>
    <row r="425" spans="1:2" x14ac:dyDescent="0.3">
      <c r="B425" t="str">
        <f>"            sr_paddr_dat["&amp;A422&amp;"]   &lt;= 24'h0;"</f>
        <v xml:space="preserve">            sr_paddr_dat[40]   &lt;= 24'h0;</v>
      </c>
    </row>
    <row r="426" spans="1:2" x14ac:dyDescent="0.3">
      <c r="B426" t="s">
        <v>2</v>
      </c>
    </row>
    <row r="427" spans="1:2" x14ac:dyDescent="0.3">
      <c r="B427" t="str">
        <f>"           if (PADDR_CNT == 7'd"&amp;A422&amp;")"</f>
        <v xml:space="preserve">           if (PADDR_CNT == 7'd40)</v>
      </c>
    </row>
    <row r="428" spans="1:2" x14ac:dyDescent="0.3">
      <c r="B428" t="str">
        <f>"               sr_paddr_dat["&amp;A422&amp;"]  &lt;= sr_page_paddr_buf;"</f>
        <v xml:space="preserve">               sr_paddr_dat[40]  &lt;= sr_page_paddr_buf;</v>
      </c>
    </row>
    <row r="429" spans="1:2" x14ac:dyDescent="0.3">
      <c r="B429" t="s">
        <v>3</v>
      </c>
    </row>
    <row r="430" spans="1:2" x14ac:dyDescent="0.3">
      <c r="B430" t="str">
        <f>"               sr_paddr_dat["&amp;A422&amp;"]  &lt;= sr_paddr_dat["&amp;A422&amp;"];"</f>
        <v xml:space="preserve">               sr_paddr_dat[40]  &lt;= sr_paddr_dat[40];</v>
      </c>
    </row>
    <row r="431" spans="1:2" x14ac:dyDescent="0.3">
      <c r="B431" t="s">
        <v>4</v>
      </c>
    </row>
    <row r="432" spans="1:2" x14ac:dyDescent="0.3">
      <c r="B432" t="s">
        <v>5</v>
      </c>
    </row>
    <row r="434" spans="1:2" x14ac:dyDescent="0.3">
      <c r="A434">
        <f>A422+1</f>
        <v>41</v>
      </c>
      <c r="B434" t="str">
        <f>"    // Page Address Resister"&amp;A434</f>
        <v xml:space="preserve">    // Page Address Resister41</v>
      </c>
    </row>
    <row r="435" spans="1:2" x14ac:dyDescent="0.3">
      <c r="A435" t="str">
        <f>DEC2HEX(A434)</f>
        <v>29</v>
      </c>
      <c r="B435" t="s">
        <v>0</v>
      </c>
    </row>
    <row r="436" spans="1:2" x14ac:dyDescent="0.3">
      <c r="B436" t="s">
        <v>1</v>
      </c>
    </row>
    <row r="437" spans="1:2" x14ac:dyDescent="0.3">
      <c r="B437" t="str">
        <f>"            sr_paddr_dat["&amp;A434&amp;"]   &lt;= 24'h0;"</f>
        <v xml:space="preserve">            sr_paddr_dat[41]   &lt;= 24'h0;</v>
      </c>
    </row>
    <row r="438" spans="1:2" x14ac:dyDescent="0.3">
      <c r="B438" t="s">
        <v>2</v>
      </c>
    </row>
    <row r="439" spans="1:2" x14ac:dyDescent="0.3">
      <c r="B439" t="str">
        <f>"           if (PADDR_CNT == 7'd"&amp;A434&amp;")"</f>
        <v xml:space="preserve">           if (PADDR_CNT == 7'd41)</v>
      </c>
    </row>
    <row r="440" spans="1:2" x14ac:dyDescent="0.3">
      <c r="B440" t="str">
        <f>"               sr_paddr_dat["&amp;A434&amp;"]  &lt;= sr_page_paddr_buf;"</f>
        <v xml:space="preserve">               sr_paddr_dat[41]  &lt;= sr_page_paddr_buf;</v>
      </c>
    </row>
    <row r="441" spans="1:2" x14ac:dyDescent="0.3">
      <c r="B441" t="s">
        <v>3</v>
      </c>
    </row>
    <row r="442" spans="1:2" x14ac:dyDescent="0.3">
      <c r="B442" t="str">
        <f>"               sr_paddr_dat["&amp;A434&amp;"]  &lt;= sr_paddr_dat["&amp;A434&amp;"];"</f>
        <v xml:space="preserve">               sr_paddr_dat[41]  &lt;= sr_paddr_dat[41];</v>
      </c>
    </row>
    <row r="443" spans="1:2" x14ac:dyDescent="0.3">
      <c r="B443" t="s">
        <v>4</v>
      </c>
    </row>
    <row r="444" spans="1:2" x14ac:dyDescent="0.3">
      <c r="B444" t="s">
        <v>5</v>
      </c>
    </row>
    <row r="446" spans="1:2" x14ac:dyDescent="0.3">
      <c r="A446">
        <f>A434+1</f>
        <v>42</v>
      </c>
      <c r="B446" t="str">
        <f>"    // Page Address Resister"&amp;A446</f>
        <v xml:space="preserve">    // Page Address Resister42</v>
      </c>
    </row>
    <row r="447" spans="1:2" x14ac:dyDescent="0.3">
      <c r="A447" t="str">
        <f>DEC2HEX(A446)</f>
        <v>2A</v>
      </c>
      <c r="B447" t="s">
        <v>0</v>
      </c>
    </row>
    <row r="448" spans="1:2" x14ac:dyDescent="0.3">
      <c r="B448" t="s">
        <v>1</v>
      </c>
    </row>
    <row r="449" spans="1:2" x14ac:dyDescent="0.3">
      <c r="B449" t="str">
        <f>"            sr_paddr_dat["&amp;A446&amp;"]   &lt;= 24'h0;"</f>
        <v xml:space="preserve">            sr_paddr_dat[42]   &lt;= 24'h0;</v>
      </c>
    </row>
    <row r="450" spans="1:2" x14ac:dyDescent="0.3">
      <c r="B450" t="s">
        <v>2</v>
      </c>
    </row>
    <row r="451" spans="1:2" x14ac:dyDescent="0.3">
      <c r="B451" t="str">
        <f>"           if (PADDR_CNT == 7'd"&amp;A446&amp;")"</f>
        <v xml:space="preserve">           if (PADDR_CNT == 7'd42)</v>
      </c>
    </row>
    <row r="452" spans="1:2" x14ac:dyDescent="0.3">
      <c r="B452" t="str">
        <f>"               sr_paddr_dat["&amp;A446&amp;"]  &lt;= sr_page_paddr_buf;"</f>
        <v xml:space="preserve">               sr_paddr_dat[42]  &lt;= sr_page_paddr_buf;</v>
      </c>
    </row>
    <row r="453" spans="1:2" x14ac:dyDescent="0.3">
      <c r="B453" t="s">
        <v>3</v>
      </c>
    </row>
    <row r="454" spans="1:2" x14ac:dyDescent="0.3">
      <c r="B454" t="str">
        <f>"               sr_paddr_dat["&amp;A446&amp;"]  &lt;= sr_paddr_dat["&amp;A446&amp;"];"</f>
        <v xml:space="preserve">               sr_paddr_dat[42]  &lt;= sr_paddr_dat[42];</v>
      </c>
    </row>
    <row r="455" spans="1:2" x14ac:dyDescent="0.3">
      <c r="B455" t="s">
        <v>4</v>
      </c>
    </row>
    <row r="456" spans="1:2" x14ac:dyDescent="0.3">
      <c r="B456" t="s">
        <v>5</v>
      </c>
    </row>
    <row r="458" spans="1:2" x14ac:dyDescent="0.3">
      <c r="A458">
        <f>A446+1</f>
        <v>43</v>
      </c>
      <c r="B458" t="str">
        <f>"    // Page Address Resister"&amp;A458</f>
        <v xml:space="preserve">    // Page Address Resister43</v>
      </c>
    </row>
    <row r="459" spans="1:2" x14ac:dyDescent="0.3">
      <c r="A459" t="str">
        <f>DEC2HEX(A458)</f>
        <v>2B</v>
      </c>
      <c r="B459" t="s">
        <v>0</v>
      </c>
    </row>
    <row r="460" spans="1:2" x14ac:dyDescent="0.3">
      <c r="B460" t="s">
        <v>1</v>
      </c>
    </row>
    <row r="461" spans="1:2" x14ac:dyDescent="0.3">
      <c r="B461" t="str">
        <f>"            sr_paddr_dat["&amp;A458&amp;"]   &lt;= 24'h0;"</f>
        <v xml:space="preserve">            sr_paddr_dat[43]   &lt;= 24'h0;</v>
      </c>
    </row>
    <row r="462" spans="1:2" x14ac:dyDescent="0.3">
      <c r="B462" t="s">
        <v>2</v>
      </c>
    </row>
    <row r="463" spans="1:2" x14ac:dyDescent="0.3">
      <c r="B463" t="str">
        <f>"           if (PADDR_CNT == 7'd"&amp;A458&amp;")"</f>
        <v xml:space="preserve">           if (PADDR_CNT == 7'd43)</v>
      </c>
    </row>
    <row r="464" spans="1:2" x14ac:dyDescent="0.3">
      <c r="B464" t="str">
        <f>"               sr_paddr_dat["&amp;A458&amp;"]  &lt;= sr_page_paddr_buf;"</f>
        <v xml:space="preserve">               sr_paddr_dat[43]  &lt;= sr_page_paddr_buf;</v>
      </c>
    </row>
    <row r="465" spans="1:2" x14ac:dyDescent="0.3">
      <c r="B465" t="s">
        <v>3</v>
      </c>
    </row>
    <row r="466" spans="1:2" x14ac:dyDescent="0.3">
      <c r="B466" t="str">
        <f>"               sr_paddr_dat["&amp;A458&amp;"]  &lt;= sr_paddr_dat["&amp;A458&amp;"];"</f>
        <v xml:space="preserve">               sr_paddr_dat[43]  &lt;= sr_paddr_dat[43];</v>
      </c>
    </row>
    <row r="467" spans="1:2" x14ac:dyDescent="0.3">
      <c r="B467" t="s">
        <v>4</v>
      </c>
    </row>
    <row r="468" spans="1:2" x14ac:dyDescent="0.3">
      <c r="B468" t="s">
        <v>5</v>
      </c>
    </row>
    <row r="470" spans="1:2" x14ac:dyDescent="0.3">
      <c r="A470">
        <f>A458+1</f>
        <v>44</v>
      </c>
      <c r="B470" t="str">
        <f>"    // Page Address Resister"&amp;A470</f>
        <v xml:space="preserve">    // Page Address Resister44</v>
      </c>
    </row>
    <row r="471" spans="1:2" x14ac:dyDescent="0.3">
      <c r="A471" t="str">
        <f>DEC2HEX(A470)</f>
        <v>2C</v>
      </c>
      <c r="B471" t="s">
        <v>0</v>
      </c>
    </row>
    <row r="472" spans="1:2" x14ac:dyDescent="0.3">
      <c r="B472" t="s">
        <v>1</v>
      </c>
    </row>
    <row r="473" spans="1:2" x14ac:dyDescent="0.3">
      <c r="B473" t="str">
        <f>"            sr_paddr_dat["&amp;A470&amp;"]   &lt;= 24'h0;"</f>
        <v xml:space="preserve">            sr_paddr_dat[44]   &lt;= 24'h0;</v>
      </c>
    </row>
    <row r="474" spans="1:2" x14ac:dyDescent="0.3">
      <c r="B474" t="s">
        <v>2</v>
      </c>
    </row>
    <row r="475" spans="1:2" x14ac:dyDescent="0.3">
      <c r="B475" t="str">
        <f>"           if (PADDR_CNT == 7'd"&amp;A470&amp;")"</f>
        <v xml:space="preserve">           if (PADDR_CNT == 7'd44)</v>
      </c>
    </row>
    <row r="476" spans="1:2" x14ac:dyDescent="0.3">
      <c r="B476" t="str">
        <f>"               sr_paddr_dat["&amp;A470&amp;"]  &lt;= sr_page_paddr_buf;"</f>
        <v xml:space="preserve">               sr_paddr_dat[44]  &lt;= sr_page_paddr_buf;</v>
      </c>
    </row>
    <row r="477" spans="1:2" x14ac:dyDescent="0.3">
      <c r="B477" t="s">
        <v>3</v>
      </c>
    </row>
    <row r="478" spans="1:2" x14ac:dyDescent="0.3">
      <c r="B478" t="str">
        <f>"               sr_paddr_dat["&amp;A470&amp;"]  &lt;= sr_paddr_dat["&amp;A470&amp;"];"</f>
        <v xml:space="preserve">               sr_paddr_dat[44]  &lt;= sr_paddr_dat[44];</v>
      </c>
    </row>
    <row r="479" spans="1:2" x14ac:dyDescent="0.3">
      <c r="B479" t="s">
        <v>4</v>
      </c>
    </row>
    <row r="480" spans="1:2" x14ac:dyDescent="0.3">
      <c r="B480" t="s">
        <v>5</v>
      </c>
    </row>
    <row r="482" spans="1:2" x14ac:dyDescent="0.3">
      <c r="A482">
        <f>A470+1</f>
        <v>45</v>
      </c>
      <c r="B482" t="str">
        <f>"    // Page Address Resister"&amp;A482</f>
        <v xml:space="preserve">    // Page Address Resister45</v>
      </c>
    </row>
    <row r="483" spans="1:2" x14ac:dyDescent="0.3">
      <c r="A483" t="str">
        <f>DEC2HEX(A482)</f>
        <v>2D</v>
      </c>
      <c r="B483" t="s">
        <v>0</v>
      </c>
    </row>
    <row r="484" spans="1:2" x14ac:dyDescent="0.3">
      <c r="B484" t="s">
        <v>1</v>
      </c>
    </row>
    <row r="485" spans="1:2" x14ac:dyDescent="0.3">
      <c r="B485" t="str">
        <f>"            sr_paddr_dat["&amp;A482&amp;"]   &lt;= 24'h0;"</f>
        <v xml:space="preserve">            sr_paddr_dat[45]   &lt;= 24'h0;</v>
      </c>
    </row>
    <row r="486" spans="1:2" x14ac:dyDescent="0.3">
      <c r="B486" t="s">
        <v>2</v>
      </c>
    </row>
    <row r="487" spans="1:2" x14ac:dyDescent="0.3">
      <c r="B487" t="str">
        <f>"           if (PADDR_CNT == 7'd"&amp;A482&amp;")"</f>
        <v xml:space="preserve">           if (PADDR_CNT == 7'd45)</v>
      </c>
    </row>
    <row r="488" spans="1:2" x14ac:dyDescent="0.3">
      <c r="B488" t="str">
        <f>"               sr_paddr_dat["&amp;A482&amp;"]  &lt;= sr_page_paddr_buf;"</f>
        <v xml:space="preserve">               sr_paddr_dat[45]  &lt;= sr_page_paddr_buf;</v>
      </c>
    </row>
    <row r="489" spans="1:2" x14ac:dyDescent="0.3">
      <c r="B489" t="s">
        <v>3</v>
      </c>
    </row>
    <row r="490" spans="1:2" x14ac:dyDescent="0.3">
      <c r="B490" t="str">
        <f>"               sr_paddr_dat["&amp;A482&amp;"]  &lt;= sr_paddr_dat["&amp;A482&amp;"];"</f>
        <v xml:space="preserve">               sr_paddr_dat[45]  &lt;= sr_paddr_dat[45];</v>
      </c>
    </row>
    <row r="491" spans="1:2" x14ac:dyDescent="0.3">
      <c r="B491" t="s">
        <v>4</v>
      </c>
    </row>
    <row r="492" spans="1:2" x14ac:dyDescent="0.3">
      <c r="B492" t="s">
        <v>5</v>
      </c>
    </row>
    <row r="494" spans="1:2" x14ac:dyDescent="0.3">
      <c r="A494">
        <f>A482+1</f>
        <v>46</v>
      </c>
      <c r="B494" t="str">
        <f>"    // Page Address Resister"&amp;A494</f>
        <v xml:space="preserve">    // Page Address Resister46</v>
      </c>
    </row>
    <row r="495" spans="1:2" x14ac:dyDescent="0.3">
      <c r="A495" t="str">
        <f>DEC2HEX(A494)</f>
        <v>2E</v>
      </c>
      <c r="B495" t="s">
        <v>0</v>
      </c>
    </row>
    <row r="496" spans="1:2" x14ac:dyDescent="0.3">
      <c r="B496" t="s">
        <v>1</v>
      </c>
    </row>
    <row r="497" spans="1:2" x14ac:dyDescent="0.3">
      <c r="B497" t="str">
        <f>"            sr_paddr_dat["&amp;A494&amp;"]   &lt;= 24'h0;"</f>
        <v xml:space="preserve">            sr_paddr_dat[46]   &lt;= 24'h0;</v>
      </c>
    </row>
    <row r="498" spans="1:2" x14ac:dyDescent="0.3">
      <c r="B498" t="s">
        <v>2</v>
      </c>
    </row>
    <row r="499" spans="1:2" x14ac:dyDescent="0.3">
      <c r="B499" t="str">
        <f>"           if (PADDR_CNT == 7'd"&amp;A494&amp;")"</f>
        <v xml:space="preserve">           if (PADDR_CNT == 7'd46)</v>
      </c>
    </row>
    <row r="500" spans="1:2" x14ac:dyDescent="0.3">
      <c r="B500" t="str">
        <f>"               sr_paddr_dat["&amp;A494&amp;"]  &lt;= sr_page_paddr_buf;"</f>
        <v xml:space="preserve">               sr_paddr_dat[46]  &lt;= sr_page_paddr_buf;</v>
      </c>
    </row>
    <row r="501" spans="1:2" x14ac:dyDescent="0.3">
      <c r="B501" t="s">
        <v>3</v>
      </c>
    </row>
    <row r="502" spans="1:2" x14ac:dyDescent="0.3">
      <c r="B502" t="str">
        <f>"               sr_paddr_dat["&amp;A494&amp;"]  &lt;= sr_paddr_dat["&amp;A494&amp;"];"</f>
        <v xml:space="preserve">               sr_paddr_dat[46]  &lt;= sr_paddr_dat[46];</v>
      </c>
    </row>
    <row r="503" spans="1:2" x14ac:dyDescent="0.3">
      <c r="B503" t="s">
        <v>4</v>
      </c>
    </row>
    <row r="504" spans="1:2" x14ac:dyDescent="0.3">
      <c r="B504" t="s">
        <v>5</v>
      </c>
    </row>
    <row r="506" spans="1:2" x14ac:dyDescent="0.3">
      <c r="A506">
        <f>A494+1</f>
        <v>47</v>
      </c>
      <c r="B506" t="str">
        <f>"    // Page Address Resister"&amp;A506</f>
        <v xml:space="preserve">    // Page Address Resister47</v>
      </c>
    </row>
    <row r="507" spans="1:2" x14ac:dyDescent="0.3">
      <c r="A507" t="str">
        <f>DEC2HEX(A506)</f>
        <v>2F</v>
      </c>
      <c r="B507" t="s">
        <v>0</v>
      </c>
    </row>
    <row r="508" spans="1:2" x14ac:dyDescent="0.3">
      <c r="B508" t="s">
        <v>1</v>
      </c>
    </row>
    <row r="509" spans="1:2" x14ac:dyDescent="0.3">
      <c r="B509" t="str">
        <f>"            sr_paddr_dat["&amp;A506&amp;"]   &lt;= 24'h0;"</f>
        <v xml:space="preserve">            sr_paddr_dat[47]   &lt;= 24'h0;</v>
      </c>
    </row>
    <row r="510" spans="1:2" x14ac:dyDescent="0.3">
      <c r="B510" t="s">
        <v>2</v>
      </c>
    </row>
    <row r="511" spans="1:2" x14ac:dyDescent="0.3">
      <c r="B511" t="str">
        <f>"           if (PADDR_CNT == 7'd"&amp;A506&amp;")"</f>
        <v xml:space="preserve">           if (PADDR_CNT == 7'd47)</v>
      </c>
    </row>
    <row r="512" spans="1:2" x14ac:dyDescent="0.3">
      <c r="B512" t="str">
        <f>"               sr_paddr_dat["&amp;A506&amp;"]  &lt;= sr_page_paddr_buf;"</f>
        <v xml:space="preserve">               sr_paddr_dat[47]  &lt;= sr_page_paddr_buf;</v>
      </c>
    </row>
    <row r="513" spans="1:2" x14ac:dyDescent="0.3">
      <c r="B513" t="s">
        <v>3</v>
      </c>
    </row>
    <row r="514" spans="1:2" x14ac:dyDescent="0.3">
      <c r="B514" t="str">
        <f>"               sr_paddr_dat["&amp;A506&amp;"]  &lt;= sr_paddr_dat["&amp;A506&amp;"];"</f>
        <v xml:space="preserve">               sr_paddr_dat[47]  &lt;= sr_paddr_dat[47];</v>
      </c>
    </row>
    <row r="515" spans="1:2" x14ac:dyDescent="0.3">
      <c r="B515" t="s">
        <v>4</v>
      </c>
    </row>
    <row r="516" spans="1:2" x14ac:dyDescent="0.3">
      <c r="B516" t="s">
        <v>5</v>
      </c>
    </row>
    <row r="518" spans="1:2" x14ac:dyDescent="0.3">
      <c r="A518">
        <f>A506+1</f>
        <v>48</v>
      </c>
      <c r="B518" t="str">
        <f>"    // Page Address Resister"&amp;A518</f>
        <v xml:space="preserve">    // Page Address Resister48</v>
      </c>
    </row>
    <row r="519" spans="1:2" x14ac:dyDescent="0.3">
      <c r="A519" t="str">
        <f>DEC2HEX(A518)</f>
        <v>30</v>
      </c>
      <c r="B519" t="s">
        <v>0</v>
      </c>
    </row>
    <row r="520" spans="1:2" x14ac:dyDescent="0.3">
      <c r="B520" t="s">
        <v>1</v>
      </c>
    </row>
    <row r="521" spans="1:2" x14ac:dyDescent="0.3">
      <c r="B521" t="str">
        <f>"            sr_paddr_dat["&amp;A518&amp;"]   &lt;= 24'h0;"</f>
        <v xml:space="preserve">            sr_paddr_dat[48]   &lt;= 24'h0;</v>
      </c>
    </row>
    <row r="522" spans="1:2" x14ac:dyDescent="0.3">
      <c r="B522" t="s">
        <v>2</v>
      </c>
    </row>
    <row r="523" spans="1:2" x14ac:dyDescent="0.3">
      <c r="B523" t="str">
        <f>"           if (PADDR_CNT == 7'd"&amp;A518&amp;")"</f>
        <v xml:space="preserve">           if (PADDR_CNT == 7'd48)</v>
      </c>
    </row>
    <row r="524" spans="1:2" x14ac:dyDescent="0.3">
      <c r="B524" t="str">
        <f>"               sr_paddr_dat["&amp;A518&amp;"]  &lt;= sr_page_paddr_buf;"</f>
        <v xml:space="preserve">               sr_paddr_dat[48]  &lt;= sr_page_paddr_buf;</v>
      </c>
    </row>
    <row r="525" spans="1:2" x14ac:dyDescent="0.3">
      <c r="B525" t="s">
        <v>3</v>
      </c>
    </row>
    <row r="526" spans="1:2" x14ac:dyDescent="0.3">
      <c r="B526" t="str">
        <f>"               sr_paddr_dat["&amp;A518&amp;"]  &lt;= sr_paddr_dat["&amp;A518&amp;"];"</f>
        <v xml:space="preserve">               sr_paddr_dat[48]  &lt;= sr_paddr_dat[48];</v>
      </c>
    </row>
    <row r="527" spans="1:2" x14ac:dyDescent="0.3">
      <c r="B527" t="s">
        <v>4</v>
      </c>
    </row>
    <row r="528" spans="1:2" x14ac:dyDescent="0.3">
      <c r="B528" t="s">
        <v>5</v>
      </c>
    </row>
    <row r="530" spans="1:2" x14ac:dyDescent="0.3">
      <c r="A530">
        <f>A518+1</f>
        <v>49</v>
      </c>
      <c r="B530" t="str">
        <f>"    // Page Address Resister"&amp;A530</f>
        <v xml:space="preserve">    // Page Address Resister49</v>
      </c>
    </row>
    <row r="531" spans="1:2" x14ac:dyDescent="0.3">
      <c r="A531" t="str">
        <f>DEC2HEX(A530)</f>
        <v>31</v>
      </c>
      <c r="B531" t="s">
        <v>0</v>
      </c>
    </row>
    <row r="532" spans="1:2" x14ac:dyDescent="0.3">
      <c r="B532" t="s">
        <v>1</v>
      </c>
    </row>
    <row r="533" spans="1:2" x14ac:dyDescent="0.3">
      <c r="B533" t="str">
        <f>"            sr_paddr_dat["&amp;A530&amp;"]   &lt;= 24'h0;"</f>
        <v xml:space="preserve">            sr_paddr_dat[49]   &lt;= 24'h0;</v>
      </c>
    </row>
    <row r="534" spans="1:2" x14ac:dyDescent="0.3">
      <c r="B534" t="s">
        <v>2</v>
      </c>
    </row>
    <row r="535" spans="1:2" x14ac:dyDescent="0.3">
      <c r="B535" t="str">
        <f>"           if (PADDR_CNT == 7'd"&amp;A530&amp;")"</f>
        <v xml:space="preserve">           if (PADDR_CNT == 7'd49)</v>
      </c>
    </row>
    <row r="536" spans="1:2" x14ac:dyDescent="0.3">
      <c r="B536" t="str">
        <f>"               sr_paddr_dat["&amp;A530&amp;"]  &lt;= sr_page_paddr_buf;"</f>
        <v xml:space="preserve">               sr_paddr_dat[49]  &lt;= sr_page_paddr_buf;</v>
      </c>
    </row>
    <row r="537" spans="1:2" x14ac:dyDescent="0.3">
      <c r="B537" t="s">
        <v>3</v>
      </c>
    </row>
    <row r="538" spans="1:2" x14ac:dyDescent="0.3">
      <c r="B538" t="str">
        <f>"               sr_paddr_dat["&amp;A530&amp;"]  &lt;= sr_paddr_dat["&amp;A530&amp;"];"</f>
        <v xml:space="preserve">               sr_paddr_dat[49]  &lt;= sr_paddr_dat[49];</v>
      </c>
    </row>
    <row r="539" spans="1:2" x14ac:dyDescent="0.3">
      <c r="B539" t="s">
        <v>4</v>
      </c>
    </row>
    <row r="540" spans="1:2" x14ac:dyDescent="0.3">
      <c r="B540" t="s">
        <v>5</v>
      </c>
    </row>
    <row r="542" spans="1:2" x14ac:dyDescent="0.3">
      <c r="A542">
        <f>A530+1</f>
        <v>50</v>
      </c>
      <c r="B542" t="str">
        <f>"    // Page Address Resister"&amp;A542</f>
        <v xml:space="preserve">    // Page Address Resister50</v>
      </c>
    </row>
    <row r="543" spans="1:2" x14ac:dyDescent="0.3">
      <c r="A543" t="str">
        <f>DEC2HEX(A542)</f>
        <v>32</v>
      </c>
      <c r="B543" t="s">
        <v>0</v>
      </c>
    </row>
    <row r="544" spans="1:2" x14ac:dyDescent="0.3">
      <c r="B544" t="s">
        <v>1</v>
      </c>
    </row>
    <row r="545" spans="1:2" x14ac:dyDescent="0.3">
      <c r="B545" t="str">
        <f>"            sr_paddr_dat["&amp;A542&amp;"]   &lt;= 24'h0;"</f>
        <v xml:space="preserve">            sr_paddr_dat[50]   &lt;= 24'h0;</v>
      </c>
    </row>
    <row r="546" spans="1:2" x14ac:dyDescent="0.3">
      <c r="B546" t="s">
        <v>2</v>
      </c>
    </row>
    <row r="547" spans="1:2" x14ac:dyDescent="0.3">
      <c r="B547" t="str">
        <f>"           if (PADDR_CNT == 7'd"&amp;A542&amp;")"</f>
        <v xml:space="preserve">           if (PADDR_CNT == 7'd50)</v>
      </c>
    </row>
    <row r="548" spans="1:2" x14ac:dyDescent="0.3">
      <c r="B548" t="str">
        <f>"               sr_paddr_dat["&amp;A542&amp;"]  &lt;= sr_page_paddr_buf;"</f>
        <v xml:space="preserve">               sr_paddr_dat[50]  &lt;= sr_page_paddr_buf;</v>
      </c>
    </row>
    <row r="549" spans="1:2" x14ac:dyDescent="0.3">
      <c r="B549" t="s">
        <v>3</v>
      </c>
    </row>
    <row r="550" spans="1:2" x14ac:dyDescent="0.3">
      <c r="B550" t="str">
        <f>"               sr_paddr_dat["&amp;A542&amp;"]  &lt;= sr_paddr_dat["&amp;A542&amp;"];"</f>
        <v xml:space="preserve">               sr_paddr_dat[50]  &lt;= sr_paddr_dat[50];</v>
      </c>
    </row>
    <row r="551" spans="1:2" x14ac:dyDescent="0.3">
      <c r="B551" t="s">
        <v>4</v>
      </c>
    </row>
    <row r="552" spans="1:2" x14ac:dyDescent="0.3">
      <c r="B552" t="s">
        <v>5</v>
      </c>
    </row>
    <row r="554" spans="1:2" x14ac:dyDescent="0.3">
      <c r="A554">
        <f>A542+1</f>
        <v>51</v>
      </c>
      <c r="B554" t="str">
        <f>"    // Page Address Resister"&amp;A554</f>
        <v xml:space="preserve">    // Page Address Resister51</v>
      </c>
    </row>
    <row r="555" spans="1:2" x14ac:dyDescent="0.3">
      <c r="A555" t="str">
        <f>DEC2HEX(A554)</f>
        <v>33</v>
      </c>
      <c r="B555" t="s">
        <v>0</v>
      </c>
    </row>
    <row r="556" spans="1:2" x14ac:dyDescent="0.3">
      <c r="B556" t="s">
        <v>1</v>
      </c>
    </row>
    <row r="557" spans="1:2" x14ac:dyDescent="0.3">
      <c r="B557" t="str">
        <f>"            sr_paddr_dat["&amp;A554&amp;"]   &lt;= 24'h0;"</f>
        <v xml:space="preserve">            sr_paddr_dat[51]   &lt;= 24'h0;</v>
      </c>
    </row>
    <row r="558" spans="1:2" x14ac:dyDescent="0.3">
      <c r="B558" t="s">
        <v>2</v>
      </c>
    </row>
    <row r="559" spans="1:2" x14ac:dyDescent="0.3">
      <c r="B559" t="str">
        <f>"           if (PADDR_CNT == 7'd"&amp;A554&amp;")"</f>
        <v xml:space="preserve">           if (PADDR_CNT == 7'd51)</v>
      </c>
    </row>
    <row r="560" spans="1:2" x14ac:dyDescent="0.3">
      <c r="B560" t="str">
        <f>"               sr_paddr_dat["&amp;A554&amp;"]  &lt;= sr_page_paddr_buf;"</f>
        <v xml:space="preserve">               sr_paddr_dat[51]  &lt;= sr_page_paddr_buf;</v>
      </c>
    </row>
    <row r="561" spans="1:2" x14ac:dyDescent="0.3">
      <c r="B561" t="s">
        <v>3</v>
      </c>
    </row>
    <row r="562" spans="1:2" x14ac:dyDescent="0.3">
      <c r="B562" t="str">
        <f>"               sr_paddr_dat["&amp;A554&amp;"]  &lt;= sr_paddr_dat["&amp;A554&amp;"];"</f>
        <v xml:space="preserve">               sr_paddr_dat[51]  &lt;= sr_paddr_dat[51];</v>
      </c>
    </row>
    <row r="563" spans="1:2" x14ac:dyDescent="0.3">
      <c r="B563" t="s">
        <v>4</v>
      </c>
    </row>
    <row r="564" spans="1:2" x14ac:dyDescent="0.3">
      <c r="B564" t="s">
        <v>5</v>
      </c>
    </row>
    <row r="566" spans="1:2" x14ac:dyDescent="0.3">
      <c r="A566">
        <f>A554+1</f>
        <v>52</v>
      </c>
      <c r="B566" t="str">
        <f>"    // Page Address Resister"&amp;A566</f>
        <v xml:space="preserve">    // Page Address Resister52</v>
      </c>
    </row>
    <row r="567" spans="1:2" x14ac:dyDescent="0.3">
      <c r="A567" t="str">
        <f>DEC2HEX(A566)</f>
        <v>34</v>
      </c>
      <c r="B567" t="s">
        <v>0</v>
      </c>
    </row>
    <row r="568" spans="1:2" x14ac:dyDescent="0.3">
      <c r="B568" t="s">
        <v>1</v>
      </c>
    </row>
    <row r="569" spans="1:2" x14ac:dyDescent="0.3">
      <c r="B569" t="str">
        <f>"            sr_paddr_dat["&amp;A566&amp;"]   &lt;= 24'h0;"</f>
        <v xml:space="preserve">            sr_paddr_dat[52]   &lt;= 24'h0;</v>
      </c>
    </row>
    <row r="570" spans="1:2" x14ac:dyDescent="0.3">
      <c r="B570" t="s">
        <v>2</v>
      </c>
    </row>
    <row r="571" spans="1:2" x14ac:dyDescent="0.3">
      <c r="B571" t="str">
        <f>"           if (PADDR_CNT == 7'd"&amp;A566&amp;")"</f>
        <v xml:space="preserve">           if (PADDR_CNT == 7'd52)</v>
      </c>
    </row>
    <row r="572" spans="1:2" x14ac:dyDescent="0.3">
      <c r="B572" t="str">
        <f>"               sr_paddr_dat["&amp;A566&amp;"]  &lt;= sr_page_paddr_buf;"</f>
        <v xml:space="preserve">               sr_paddr_dat[52]  &lt;= sr_page_paddr_buf;</v>
      </c>
    </row>
    <row r="573" spans="1:2" x14ac:dyDescent="0.3">
      <c r="B573" t="s">
        <v>3</v>
      </c>
    </row>
    <row r="574" spans="1:2" x14ac:dyDescent="0.3">
      <c r="B574" t="str">
        <f>"               sr_paddr_dat["&amp;A566&amp;"]  &lt;= sr_paddr_dat["&amp;A566&amp;"];"</f>
        <v xml:space="preserve">               sr_paddr_dat[52]  &lt;= sr_paddr_dat[52];</v>
      </c>
    </row>
    <row r="575" spans="1:2" x14ac:dyDescent="0.3">
      <c r="B575" t="s">
        <v>4</v>
      </c>
    </row>
    <row r="576" spans="1:2" x14ac:dyDescent="0.3">
      <c r="B576" t="s">
        <v>5</v>
      </c>
    </row>
    <row r="578" spans="1:2" x14ac:dyDescent="0.3">
      <c r="A578">
        <f>A566+1</f>
        <v>53</v>
      </c>
      <c r="B578" t="str">
        <f>"    // Page Address Resister"&amp;A578</f>
        <v xml:space="preserve">    // Page Address Resister53</v>
      </c>
    </row>
    <row r="579" spans="1:2" x14ac:dyDescent="0.3">
      <c r="A579" t="str">
        <f>DEC2HEX(A578)</f>
        <v>35</v>
      </c>
      <c r="B579" t="s">
        <v>0</v>
      </c>
    </row>
    <row r="580" spans="1:2" x14ac:dyDescent="0.3">
      <c r="B580" t="s">
        <v>1</v>
      </c>
    </row>
    <row r="581" spans="1:2" x14ac:dyDescent="0.3">
      <c r="B581" t="str">
        <f>"            sr_paddr_dat["&amp;A578&amp;"]   &lt;= 24'h0;"</f>
        <v xml:space="preserve">            sr_paddr_dat[53]   &lt;= 24'h0;</v>
      </c>
    </row>
    <row r="582" spans="1:2" x14ac:dyDescent="0.3">
      <c r="B582" t="s">
        <v>2</v>
      </c>
    </row>
    <row r="583" spans="1:2" x14ac:dyDescent="0.3">
      <c r="B583" t="str">
        <f>"           if (PADDR_CNT == 7'd"&amp;A578&amp;")"</f>
        <v xml:space="preserve">           if (PADDR_CNT == 7'd53)</v>
      </c>
    </row>
    <row r="584" spans="1:2" x14ac:dyDescent="0.3">
      <c r="B584" t="str">
        <f>"               sr_paddr_dat["&amp;A578&amp;"]  &lt;= sr_page_paddr_buf;"</f>
        <v xml:space="preserve">               sr_paddr_dat[53]  &lt;= sr_page_paddr_buf;</v>
      </c>
    </row>
    <row r="585" spans="1:2" x14ac:dyDescent="0.3">
      <c r="B585" t="s">
        <v>3</v>
      </c>
    </row>
    <row r="586" spans="1:2" x14ac:dyDescent="0.3">
      <c r="B586" t="str">
        <f>"               sr_paddr_dat["&amp;A578&amp;"]  &lt;= sr_paddr_dat["&amp;A578&amp;"];"</f>
        <v xml:space="preserve">               sr_paddr_dat[53]  &lt;= sr_paddr_dat[53];</v>
      </c>
    </row>
    <row r="587" spans="1:2" x14ac:dyDescent="0.3">
      <c r="B587" t="s">
        <v>4</v>
      </c>
    </row>
    <row r="588" spans="1:2" x14ac:dyDescent="0.3">
      <c r="B588" t="s">
        <v>5</v>
      </c>
    </row>
    <row r="590" spans="1:2" x14ac:dyDescent="0.3">
      <c r="A590">
        <f>A578+1</f>
        <v>54</v>
      </c>
      <c r="B590" t="str">
        <f>"    // Page Address Resister"&amp;A590</f>
        <v xml:space="preserve">    // Page Address Resister54</v>
      </c>
    </row>
    <row r="591" spans="1:2" x14ac:dyDescent="0.3">
      <c r="A591" t="str">
        <f>DEC2HEX(A590)</f>
        <v>36</v>
      </c>
      <c r="B591" t="s">
        <v>0</v>
      </c>
    </row>
    <row r="592" spans="1:2" x14ac:dyDescent="0.3">
      <c r="B592" t="s">
        <v>1</v>
      </c>
    </row>
    <row r="593" spans="1:2" x14ac:dyDescent="0.3">
      <c r="B593" t="str">
        <f>"            sr_paddr_dat["&amp;A590&amp;"]   &lt;= 24'h0;"</f>
        <v xml:space="preserve">            sr_paddr_dat[54]   &lt;= 24'h0;</v>
      </c>
    </row>
    <row r="594" spans="1:2" x14ac:dyDescent="0.3">
      <c r="B594" t="s">
        <v>2</v>
      </c>
    </row>
    <row r="595" spans="1:2" x14ac:dyDescent="0.3">
      <c r="B595" t="str">
        <f>"           if (PADDR_CNT == 7'd"&amp;A590&amp;")"</f>
        <v xml:space="preserve">           if (PADDR_CNT == 7'd54)</v>
      </c>
    </row>
    <row r="596" spans="1:2" x14ac:dyDescent="0.3">
      <c r="B596" t="str">
        <f>"               sr_paddr_dat["&amp;A590&amp;"]  &lt;= sr_page_paddr_buf;"</f>
        <v xml:space="preserve">               sr_paddr_dat[54]  &lt;= sr_page_paddr_buf;</v>
      </c>
    </row>
    <row r="597" spans="1:2" x14ac:dyDescent="0.3">
      <c r="B597" t="s">
        <v>3</v>
      </c>
    </row>
    <row r="598" spans="1:2" x14ac:dyDescent="0.3">
      <c r="B598" t="str">
        <f>"               sr_paddr_dat["&amp;A590&amp;"]  &lt;= sr_paddr_dat["&amp;A590&amp;"];"</f>
        <v xml:space="preserve">               sr_paddr_dat[54]  &lt;= sr_paddr_dat[54];</v>
      </c>
    </row>
    <row r="599" spans="1:2" x14ac:dyDescent="0.3">
      <c r="B599" t="s">
        <v>4</v>
      </c>
    </row>
    <row r="600" spans="1:2" x14ac:dyDescent="0.3">
      <c r="B600" t="s">
        <v>5</v>
      </c>
    </row>
    <row r="602" spans="1:2" x14ac:dyDescent="0.3">
      <c r="A602">
        <f>A590+1</f>
        <v>55</v>
      </c>
      <c r="B602" t="str">
        <f>"    // Page Address Resister"&amp;A602</f>
        <v xml:space="preserve">    // Page Address Resister55</v>
      </c>
    </row>
    <row r="603" spans="1:2" x14ac:dyDescent="0.3">
      <c r="A603" t="str">
        <f>DEC2HEX(A602)</f>
        <v>37</v>
      </c>
      <c r="B603" t="s">
        <v>0</v>
      </c>
    </row>
    <row r="604" spans="1:2" x14ac:dyDescent="0.3">
      <c r="B604" t="s">
        <v>1</v>
      </c>
    </row>
    <row r="605" spans="1:2" x14ac:dyDescent="0.3">
      <c r="B605" t="str">
        <f>"            sr_paddr_dat["&amp;A602&amp;"]   &lt;= 24'h0;"</f>
        <v xml:space="preserve">            sr_paddr_dat[55]   &lt;= 24'h0;</v>
      </c>
    </row>
    <row r="606" spans="1:2" x14ac:dyDescent="0.3">
      <c r="B606" t="s">
        <v>2</v>
      </c>
    </row>
    <row r="607" spans="1:2" x14ac:dyDescent="0.3">
      <c r="B607" t="str">
        <f>"           if (PADDR_CNT == 7'd"&amp;A602&amp;")"</f>
        <v xml:space="preserve">           if (PADDR_CNT == 7'd55)</v>
      </c>
    </row>
    <row r="608" spans="1:2" x14ac:dyDescent="0.3">
      <c r="B608" t="str">
        <f>"               sr_paddr_dat["&amp;A602&amp;"]  &lt;= sr_page_paddr_buf;"</f>
        <v xml:space="preserve">               sr_paddr_dat[55]  &lt;= sr_page_paddr_buf;</v>
      </c>
    </row>
    <row r="609" spans="1:2" x14ac:dyDescent="0.3">
      <c r="B609" t="s">
        <v>3</v>
      </c>
    </row>
    <row r="610" spans="1:2" x14ac:dyDescent="0.3">
      <c r="B610" t="str">
        <f>"               sr_paddr_dat["&amp;A602&amp;"]  &lt;= sr_paddr_dat["&amp;A602&amp;"];"</f>
        <v xml:space="preserve">               sr_paddr_dat[55]  &lt;= sr_paddr_dat[55];</v>
      </c>
    </row>
    <row r="611" spans="1:2" x14ac:dyDescent="0.3">
      <c r="B611" t="s">
        <v>4</v>
      </c>
    </row>
    <row r="612" spans="1:2" x14ac:dyDescent="0.3">
      <c r="B612" t="s">
        <v>5</v>
      </c>
    </row>
    <row r="614" spans="1:2" x14ac:dyDescent="0.3">
      <c r="A614">
        <f>A602+1</f>
        <v>56</v>
      </c>
      <c r="B614" t="str">
        <f>"    // Page Address Resister"&amp;A614</f>
        <v xml:space="preserve">    // Page Address Resister56</v>
      </c>
    </row>
    <row r="615" spans="1:2" x14ac:dyDescent="0.3">
      <c r="A615" t="str">
        <f>DEC2HEX(A614)</f>
        <v>38</v>
      </c>
      <c r="B615" t="s">
        <v>0</v>
      </c>
    </row>
    <row r="616" spans="1:2" x14ac:dyDescent="0.3">
      <c r="B616" t="s">
        <v>1</v>
      </c>
    </row>
    <row r="617" spans="1:2" x14ac:dyDescent="0.3">
      <c r="B617" t="str">
        <f>"            sr_paddr_dat["&amp;A614&amp;"]   &lt;= 24'h0;"</f>
        <v xml:space="preserve">            sr_paddr_dat[56]   &lt;= 24'h0;</v>
      </c>
    </row>
    <row r="618" spans="1:2" x14ac:dyDescent="0.3">
      <c r="B618" t="s">
        <v>2</v>
      </c>
    </row>
    <row r="619" spans="1:2" x14ac:dyDescent="0.3">
      <c r="B619" t="str">
        <f>"           if (PADDR_CNT == 7'd"&amp;A614&amp;")"</f>
        <v xml:space="preserve">           if (PADDR_CNT == 7'd56)</v>
      </c>
    </row>
    <row r="620" spans="1:2" x14ac:dyDescent="0.3">
      <c r="B620" t="str">
        <f>"               sr_paddr_dat["&amp;A614&amp;"]  &lt;= sr_page_paddr_buf;"</f>
        <v xml:space="preserve">               sr_paddr_dat[56]  &lt;= sr_page_paddr_buf;</v>
      </c>
    </row>
    <row r="621" spans="1:2" x14ac:dyDescent="0.3">
      <c r="B621" t="s">
        <v>3</v>
      </c>
    </row>
    <row r="622" spans="1:2" x14ac:dyDescent="0.3">
      <c r="B622" t="str">
        <f>"               sr_paddr_dat["&amp;A614&amp;"]  &lt;= sr_paddr_dat["&amp;A614&amp;"];"</f>
        <v xml:space="preserve">               sr_paddr_dat[56]  &lt;= sr_paddr_dat[56];</v>
      </c>
    </row>
    <row r="623" spans="1:2" x14ac:dyDescent="0.3">
      <c r="B623" t="s">
        <v>4</v>
      </c>
    </row>
    <row r="624" spans="1:2" x14ac:dyDescent="0.3">
      <c r="B624" t="s">
        <v>5</v>
      </c>
    </row>
    <row r="626" spans="1:2" x14ac:dyDescent="0.3">
      <c r="A626">
        <f>A614+1</f>
        <v>57</v>
      </c>
      <c r="B626" t="str">
        <f>"    // Page Address Resister"&amp;A626</f>
        <v xml:space="preserve">    // Page Address Resister57</v>
      </c>
    </row>
    <row r="627" spans="1:2" x14ac:dyDescent="0.3">
      <c r="A627" t="str">
        <f>DEC2HEX(A626)</f>
        <v>39</v>
      </c>
      <c r="B627" t="s">
        <v>0</v>
      </c>
    </row>
    <row r="628" spans="1:2" x14ac:dyDescent="0.3">
      <c r="B628" t="s">
        <v>1</v>
      </c>
    </row>
    <row r="629" spans="1:2" x14ac:dyDescent="0.3">
      <c r="B629" t="str">
        <f>"            sr_paddr_dat["&amp;A626&amp;"]   &lt;= 24'h0;"</f>
        <v xml:space="preserve">            sr_paddr_dat[57]   &lt;= 24'h0;</v>
      </c>
    </row>
    <row r="630" spans="1:2" x14ac:dyDescent="0.3">
      <c r="B630" t="s">
        <v>2</v>
      </c>
    </row>
    <row r="631" spans="1:2" x14ac:dyDescent="0.3">
      <c r="B631" t="str">
        <f>"           if (PADDR_CNT == 7'd"&amp;A626&amp;")"</f>
        <v xml:space="preserve">           if (PADDR_CNT == 7'd57)</v>
      </c>
    </row>
    <row r="632" spans="1:2" x14ac:dyDescent="0.3">
      <c r="B632" t="str">
        <f>"               sr_paddr_dat["&amp;A626&amp;"]  &lt;= sr_page_paddr_buf;"</f>
        <v xml:space="preserve">               sr_paddr_dat[57]  &lt;= sr_page_paddr_buf;</v>
      </c>
    </row>
    <row r="633" spans="1:2" x14ac:dyDescent="0.3">
      <c r="B633" t="s">
        <v>3</v>
      </c>
    </row>
    <row r="634" spans="1:2" x14ac:dyDescent="0.3">
      <c r="B634" t="str">
        <f>"               sr_paddr_dat["&amp;A626&amp;"]  &lt;= sr_paddr_dat["&amp;A626&amp;"];"</f>
        <v xml:space="preserve">               sr_paddr_dat[57]  &lt;= sr_paddr_dat[57];</v>
      </c>
    </row>
    <row r="635" spans="1:2" x14ac:dyDescent="0.3">
      <c r="B635" t="s">
        <v>4</v>
      </c>
    </row>
    <row r="636" spans="1:2" x14ac:dyDescent="0.3">
      <c r="B636" t="s">
        <v>5</v>
      </c>
    </row>
    <row r="638" spans="1:2" x14ac:dyDescent="0.3">
      <c r="A638">
        <f>A626+1</f>
        <v>58</v>
      </c>
      <c r="B638" t="str">
        <f>"    // Page Address Resister"&amp;A638</f>
        <v xml:space="preserve">    // Page Address Resister58</v>
      </c>
    </row>
    <row r="639" spans="1:2" x14ac:dyDescent="0.3">
      <c r="A639" t="str">
        <f>DEC2HEX(A638)</f>
        <v>3A</v>
      </c>
      <c r="B639" t="s">
        <v>0</v>
      </c>
    </row>
    <row r="640" spans="1:2" x14ac:dyDescent="0.3">
      <c r="B640" t="s">
        <v>1</v>
      </c>
    </row>
    <row r="641" spans="1:2" x14ac:dyDescent="0.3">
      <c r="B641" t="str">
        <f>"            sr_paddr_dat["&amp;A638&amp;"]   &lt;= 24'h0;"</f>
        <v xml:space="preserve">            sr_paddr_dat[58]   &lt;= 24'h0;</v>
      </c>
    </row>
    <row r="642" spans="1:2" x14ac:dyDescent="0.3">
      <c r="B642" t="s">
        <v>2</v>
      </c>
    </row>
    <row r="643" spans="1:2" x14ac:dyDescent="0.3">
      <c r="B643" t="str">
        <f>"           if (PADDR_CNT == 7'd"&amp;A638&amp;")"</f>
        <v xml:space="preserve">           if (PADDR_CNT == 7'd58)</v>
      </c>
    </row>
    <row r="644" spans="1:2" x14ac:dyDescent="0.3">
      <c r="B644" t="str">
        <f>"               sr_paddr_dat["&amp;A638&amp;"]  &lt;= sr_page_paddr_buf;"</f>
        <v xml:space="preserve">               sr_paddr_dat[58]  &lt;= sr_page_paddr_buf;</v>
      </c>
    </row>
    <row r="645" spans="1:2" x14ac:dyDescent="0.3">
      <c r="B645" t="s">
        <v>3</v>
      </c>
    </row>
    <row r="646" spans="1:2" x14ac:dyDescent="0.3">
      <c r="B646" t="str">
        <f>"               sr_paddr_dat["&amp;A638&amp;"]  &lt;= sr_paddr_dat["&amp;A638&amp;"];"</f>
        <v xml:space="preserve">               sr_paddr_dat[58]  &lt;= sr_paddr_dat[58];</v>
      </c>
    </row>
    <row r="647" spans="1:2" x14ac:dyDescent="0.3">
      <c r="B647" t="s">
        <v>4</v>
      </c>
    </row>
    <row r="648" spans="1:2" x14ac:dyDescent="0.3">
      <c r="B648" t="s">
        <v>5</v>
      </c>
    </row>
    <row r="650" spans="1:2" x14ac:dyDescent="0.3">
      <c r="A650">
        <f>A638+1</f>
        <v>59</v>
      </c>
      <c r="B650" t="str">
        <f>"    // Page Address Resister"&amp;A650</f>
        <v xml:space="preserve">    // Page Address Resister59</v>
      </c>
    </row>
    <row r="651" spans="1:2" x14ac:dyDescent="0.3">
      <c r="A651" t="str">
        <f>DEC2HEX(A650)</f>
        <v>3B</v>
      </c>
      <c r="B651" t="s">
        <v>0</v>
      </c>
    </row>
    <row r="652" spans="1:2" x14ac:dyDescent="0.3">
      <c r="B652" t="s">
        <v>1</v>
      </c>
    </row>
    <row r="653" spans="1:2" x14ac:dyDescent="0.3">
      <c r="B653" t="str">
        <f>"            sr_paddr_dat["&amp;A650&amp;"]   &lt;= 24'h0;"</f>
        <v xml:space="preserve">            sr_paddr_dat[59]   &lt;= 24'h0;</v>
      </c>
    </row>
    <row r="654" spans="1:2" x14ac:dyDescent="0.3">
      <c r="B654" t="s">
        <v>2</v>
      </c>
    </row>
    <row r="655" spans="1:2" x14ac:dyDescent="0.3">
      <c r="B655" t="str">
        <f>"           if (PADDR_CNT == 7'd"&amp;A650&amp;")"</f>
        <v xml:space="preserve">           if (PADDR_CNT == 7'd59)</v>
      </c>
    </row>
    <row r="656" spans="1:2" x14ac:dyDescent="0.3">
      <c r="B656" t="str">
        <f>"               sr_paddr_dat["&amp;A650&amp;"]  &lt;= sr_page_paddr_buf;"</f>
        <v xml:space="preserve">               sr_paddr_dat[59]  &lt;= sr_page_paddr_buf;</v>
      </c>
    </row>
    <row r="657" spans="1:2" x14ac:dyDescent="0.3">
      <c r="B657" t="s">
        <v>3</v>
      </c>
    </row>
    <row r="658" spans="1:2" x14ac:dyDescent="0.3">
      <c r="B658" t="str">
        <f>"               sr_paddr_dat["&amp;A650&amp;"]  &lt;= sr_paddr_dat["&amp;A650&amp;"];"</f>
        <v xml:space="preserve">               sr_paddr_dat[59]  &lt;= sr_paddr_dat[59];</v>
      </c>
    </row>
    <row r="659" spans="1:2" x14ac:dyDescent="0.3">
      <c r="B659" t="s">
        <v>4</v>
      </c>
    </row>
    <row r="660" spans="1:2" x14ac:dyDescent="0.3">
      <c r="B660" t="s">
        <v>5</v>
      </c>
    </row>
    <row r="662" spans="1:2" x14ac:dyDescent="0.3">
      <c r="A662">
        <f>A650+1</f>
        <v>60</v>
      </c>
      <c r="B662" t="str">
        <f>"    // Page Address Resister"&amp;A662</f>
        <v xml:space="preserve">    // Page Address Resister60</v>
      </c>
    </row>
    <row r="663" spans="1:2" x14ac:dyDescent="0.3">
      <c r="A663" t="str">
        <f>DEC2HEX(A662)</f>
        <v>3C</v>
      </c>
      <c r="B663" t="s">
        <v>0</v>
      </c>
    </row>
    <row r="664" spans="1:2" x14ac:dyDescent="0.3">
      <c r="B664" t="s">
        <v>1</v>
      </c>
    </row>
    <row r="665" spans="1:2" x14ac:dyDescent="0.3">
      <c r="B665" t="str">
        <f>"            sr_paddr_dat["&amp;A662&amp;"]   &lt;= 24'h0;"</f>
        <v xml:space="preserve">            sr_paddr_dat[60]   &lt;= 24'h0;</v>
      </c>
    </row>
    <row r="666" spans="1:2" x14ac:dyDescent="0.3">
      <c r="B666" t="s">
        <v>2</v>
      </c>
    </row>
    <row r="667" spans="1:2" x14ac:dyDescent="0.3">
      <c r="B667" t="str">
        <f>"           if (PADDR_CNT == 7'd"&amp;A662&amp;")"</f>
        <v xml:space="preserve">           if (PADDR_CNT == 7'd60)</v>
      </c>
    </row>
    <row r="668" spans="1:2" x14ac:dyDescent="0.3">
      <c r="B668" t="str">
        <f>"               sr_paddr_dat["&amp;A662&amp;"]  &lt;= sr_page_paddr_buf;"</f>
        <v xml:space="preserve">               sr_paddr_dat[60]  &lt;= sr_page_paddr_buf;</v>
      </c>
    </row>
    <row r="669" spans="1:2" x14ac:dyDescent="0.3">
      <c r="B669" t="s">
        <v>3</v>
      </c>
    </row>
    <row r="670" spans="1:2" x14ac:dyDescent="0.3">
      <c r="B670" t="str">
        <f>"               sr_paddr_dat["&amp;A662&amp;"]  &lt;= sr_paddr_dat["&amp;A662&amp;"];"</f>
        <v xml:space="preserve">               sr_paddr_dat[60]  &lt;= sr_paddr_dat[60];</v>
      </c>
    </row>
    <row r="671" spans="1:2" x14ac:dyDescent="0.3">
      <c r="B671" t="s">
        <v>4</v>
      </c>
    </row>
    <row r="672" spans="1:2" x14ac:dyDescent="0.3">
      <c r="B672" t="s">
        <v>5</v>
      </c>
    </row>
    <row r="674" spans="1:2" x14ac:dyDescent="0.3">
      <c r="A674">
        <f>A662+1</f>
        <v>61</v>
      </c>
      <c r="B674" t="str">
        <f>"    // Page Address Resister"&amp;A674</f>
        <v xml:space="preserve">    // Page Address Resister61</v>
      </c>
    </row>
    <row r="675" spans="1:2" x14ac:dyDescent="0.3">
      <c r="A675" t="str">
        <f>DEC2HEX(A674)</f>
        <v>3D</v>
      </c>
      <c r="B675" t="s">
        <v>0</v>
      </c>
    </row>
    <row r="676" spans="1:2" x14ac:dyDescent="0.3">
      <c r="B676" t="s">
        <v>1</v>
      </c>
    </row>
    <row r="677" spans="1:2" x14ac:dyDescent="0.3">
      <c r="B677" t="str">
        <f>"            sr_paddr_dat["&amp;A674&amp;"]   &lt;= 24'h0;"</f>
        <v xml:space="preserve">            sr_paddr_dat[61]   &lt;= 24'h0;</v>
      </c>
    </row>
    <row r="678" spans="1:2" x14ac:dyDescent="0.3">
      <c r="B678" t="s">
        <v>2</v>
      </c>
    </row>
    <row r="679" spans="1:2" x14ac:dyDescent="0.3">
      <c r="B679" t="str">
        <f>"           if (PADDR_CNT == 7'd"&amp;A674&amp;")"</f>
        <v xml:space="preserve">           if (PADDR_CNT == 7'd61)</v>
      </c>
    </row>
    <row r="680" spans="1:2" x14ac:dyDescent="0.3">
      <c r="B680" t="str">
        <f>"               sr_paddr_dat["&amp;A674&amp;"]  &lt;= sr_page_paddr_buf;"</f>
        <v xml:space="preserve">               sr_paddr_dat[61]  &lt;= sr_page_paddr_buf;</v>
      </c>
    </row>
    <row r="681" spans="1:2" x14ac:dyDescent="0.3">
      <c r="B681" t="s">
        <v>3</v>
      </c>
    </row>
    <row r="682" spans="1:2" x14ac:dyDescent="0.3">
      <c r="B682" t="str">
        <f>"               sr_paddr_dat["&amp;A674&amp;"]  &lt;= sr_paddr_dat["&amp;A674&amp;"];"</f>
        <v xml:space="preserve">               sr_paddr_dat[61]  &lt;= sr_paddr_dat[61];</v>
      </c>
    </row>
    <row r="683" spans="1:2" x14ac:dyDescent="0.3">
      <c r="B683" t="s">
        <v>4</v>
      </c>
    </row>
    <row r="684" spans="1:2" x14ac:dyDescent="0.3">
      <c r="B684" t="s">
        <v>5</v>
      </c>
    </row>
    <row r="686" spans="1:2" x14ac:dyDescent="0.3">
      <c r="A686">
        <f>A674+1</f>
        <v>62</v>
      </c>
      <c r="B686" t="str">
        <f>"    // Page Address Resister"&amp;A686</f>
        <v xml:space="preserve">    // Page Address Resister62</v>
      </c>
    </row>
    <row r="687" spans="1:2" x14ac:dyDescent="0.3">
      <c r="A687" t="str">
        <f>DEC2HEX(A686)</f>
        <v>3E</v>
      </c>
      <c r="B687" t="s">
        <v>0</v>
      </c>
    </row>
    <row r="688" spans="1:2" x14ac:dyDescent="0.3">
      <c r="B688" t="s">
        <v>1</v>
      </c>
    </row>
    <row r="689" spans="1:2" x14ac:dyDescent="0.3">
      <c r="B689" t="str">
        <f>"            sr_paddr_dat["&amp;A686&amp;"]   &lt;= 24'h0;"</f>
        <v xml:space="preserve">            sr_paddr_dat[62]   &lt;= 24'h0;</v>
      </c>
    </row>
    <row r="690" spans="1:2" x14ac:dyDescent="0.3">
      <c r="B690" t="s">
        <v>2</v>
      </c>
    </row>
    <row r="691" spans="1:2" x14ac:dyDescent="0.3">
      <c r="B691" t="str">
        <f>"           if (PADDR_CNT == 7'd"&amp;A686&amp;")"</f>
        <v xml:space="preserve">           if (PADDR_CNT == 7'd62)</v>
      </c>
    </row>
    <row r="692" spans="1:2" x14ac:dyDescent="0.3">
      <c r="B692" t="str">
        <f>"               sr_paddr_dat["&amp;A686&amp;"]  &lt;= sr_page_paddr_buf;"</f>
        <v xml:space="preserve">               sr_paddr_dat[62]  &lt;= sr_page_paddr_buf;</v>
      </c>
    </row>
    <row r="693" spans="1:2" x14ac:dyDescent="0.3">
      <c r="B693" t="s">
        <v>3</v>
      </c>
    </row>
    <row r="694" spans="1:2" x14ac:dyDescent="0.3">
      <c r="B694" t="str">
        <f>"               sr_paddr_dat["&amp;A686&amp;"]  &lt;= sr_paddr_dat["&amp;A686&amp;"];"</f>
        <v xml:space="preserve">               sr_paddr_dat[62]  &lt;= sr_paddr_dat[62];</v>
      </c>
    </row>
    <row r="695" spans="1:2" x14ac:dyDescent="0.3">
      <c r="B695" t="s">
        <v>4</v>
      </c>
    </row>
    <row r="696" spans="1:2" x14ac:dyDescent="0.3">
      <c r="B696" t="s">
        <v>5</v>
      </c>
    </row>
    <row r="698" spans="1:2" x14ac:dyDescent="0.3">
      <c r="A698">
        <f>A686+1</f>
        <v>63</v>
      </c>
      <c r="B698" t="str">
        <f>"    // Page Address Resister"&amp;A698</f>
        <v xml:space="preserve">    // Page Address Resister63</v>
      </c>
    </row>
    <row r="699" spans="1:2" x14ac:dyDescent="0.3">
      <c r="A699" t="str">
        <f>DEC2HEX(A698)</f>
        <v>3F</v>
      </c>
      <c r="B699" t="s">
        <v>0</v>
      </c>
    </row>
    <row r="700" spans="1:2" x14ac:dyDescent="0.3">
      <c r="B700" t="s">
        <v>1</v>
      </c>
    </row>
    <row r="701" spans="1:2" x14ac:dyDescent="0.3">
      <c r="B701" t="str">
        <f>"            sr_paddr_dat["&amp;A698&amp;"]   &lt;= 24'h0;"</f>
        <v xml:space="preserve">            sr_paddr_dat[63]   &lt;= 24'h0;</v>
      </c>
    </row>
    <row r="702" spans="1:2" x14ac:dyDescent="0.3">
      <c r="B702" t="s">
        <v>2</v>
      </c>
    </row>
    <row r="703" spans="1:2" x14ac:dyDescent="0.3">
      <c r="B703" t="str">
        <f>"           if (PADDR_CNT == 7'd"&amp;A698&amp;")"</f>
        <v xml:space="preserve">           if (PADDR_CNT == 7'd63)</v>
      </c>
    </row>
    <row r="704" spans="1:2" x14ac:dyDescent="0.3">
      <c r="B704" t="str">
        <f>"               sr_paddr_dat["&amp;A698&amp;"]  &lt;= sr_page_paddr_buf;"</f>
        <v xml:space="preserve">               sr_paddr_dat[63]  &lt;= sr_page_paddr_buf;</v>
      </c>
    </row>
    <row r="705" spans="1:2" x14ac:dyDescent="0.3">
      <c r="B705" t="s">
        <v>3</v>
      </c>
    </row>
    <row r="706" spans="1:2" x14ac:dyDescent="0.3">
      <c r="B706" t="str">
        <f>"               sr_paddr_dat["&amp;A698&amp;"]  &lt;= sr_paddr_dat["&amp;A698&amp;"];"</f>
        <v xml:space="preserve">               sr_paddr_dat[63]  &lt;= sr_paddr_dat[63];</v>
      </c>
    </row>
    <row r="707" spans="1:2" x14ac:dyDescent="0.3">
      <c r="B707" t="s">
        <v>4</v>
      </c>
    </row>
    <row r="708" spans="1:2" x14ac:dyDescent="0.3">
      <c r="B708" t="s">
        <v>5</v>
      </c>
    </row>
    <row r="710" spans="1:2" x14ac:dyDescent="0.3">
      <c r="A710">
        <f>A698+1</f>
        <v>64</v>
      </c>
      <c r="B710" t="str">
        <f>"    // Page Address Resister"&amp;A710</f>
        <v xml:space="preserve">    // Page Address Resister64</v>
      </c>
    </row>
    <row r="711" spans="1:2" x14ac:dyDescent="0.3">
      <c r="A711" t="str">
        <f>DEC2HEX(A710)</f>
        <v>40</v>
      </c>
      <c r="B711" t="s">
        <v>0</v>
      </c>
    </row>
    <row r="712" spans="1:2" x14ac:dyDescent="0.3">
      <c r="B712" t="s">
        <v>1</v>
      </c>
    </row>
    <row r="713" spans="1:2" x14ac:dyDescent="0.3">
      <c r="B713" t="str">
        <f>"            sr_paddr_dat["&amp;A710&amp;"]   &lt;= 24'h0;"</f>
        <v xml:space="preserve">            sr_paddr_dat[64]   &lt;= 24'h0;</v>
      </c>
    </row>
    <row r="714" spans="1:2" x14ac:dyDescent="0.3">
      <c r="B714" t="s">
        <v>2</v>
      </c>
    </row>
    <row r="715" spans="1:2" x14ac:dyDescent="0.3">
      <c r="B715" t="str">
        <f>"           if (PADDR_CNT == 7'd"&amp;A710&amp;")"</f>
        <v xml:space="preserve">           if (PADDR_CNT == 7'd64)</v>
      </c>
    </row>
    <row r="716" spans="1:2" x14ac:dyDescent="0.3">
      <c r="B716" t="str">
        <f>"               sr_paddr_dat["&amp;A710&amp;"]  &lt;= sr_page_paddr_buf;"</f>
        <v xml:space="preserve">               sr_paddr_dat[64]  &lt;= sr_page_paddr_buf;</v>
      </c>
    </row>
    <row r="717" spans="1:2" x14ac:dyDescent="0.3">
      <c r="B717" t="s">
        <v>3</v>
      </c>
    </row>
    <row r="718" spans="1:2" x14ac:dyDescent="0.3">
      <c r="B718" t="str">
        <f>"               sr_paddr_dat["&amp;A710&amp;"]  &lt;= sr_paddr_dat["&amp;A710&amp;"];"</f>
        <v xml:space="preserve">               sr_paddr_dat[64]  &lt;= sr_paddr_dat[64];</v>
      </c>
    </row>
    <row r="719" spans="1:2" x14ac:dyDescent="0.3">
      <c r="B719" t="s">
        <v>4</v>
      </c>
    </row>
    <row r="720" spans="1:2" x14ac:dyDescent="0.3">
      <c r="B720" t="s">
        <v>5</v>
      </c>
    </row>
    <row r="722" spans="1:2" x14ac:dyDescent="0.3">
      <c r="A722">
        <f>A710+1</f>
        <v>65</v>
      </c>
      <c r="B722" t="str">
        <f>"    // Page Address Resister"&amp;A722</f>
        <v xml:space="preserve">    // Page Address Resister65</v>
      </c>
    </row>
    <row r="723" spans="1:2" x14ac:dyDescent="0.3">
      <c r="A723" t="str">
        <f t="shared" ref="A723" si="3">DEC2HEX(A722)</f>
        <v>41</v>
      </c>
      <c r="B723" t="s">
        <v>0</v>
      </c>
    </row>
    <row r="724" spans="1:2" x14ac:dyDescent="0.3">
      <c r="B724" t="s">
        <v>1</v>
      </c>
    </row>
    <row r="725" spans="1:2" x14ac:dyDescent="0.3">
      <c r="B725" t="str">
        <f>"            sr_paddr_dat["&amp;A722&amp;"]   &lt;= 24'h0;"</f>
        <v xml:space="preserve">            sr_paddr_dat[65]   &lt;= 24'h0;</v>
      </c>
    </row>
    <row r="726" spans="1:2" x14ac:dyDescent="0.3">
      <c r="B726" t="s">
        <v>2</v>
      </c>
    </row>
    <row r="727" spans="1:2" x14ac:dyDescent="0.3">
      <c r="B727" t="str">
        <f>"           if (PADDR_CNT == 7'd"&amp;A722&amp;")"</f>
        <v xml:space="preserve">           if (PADDR_CNT == 7'd65)</v>
      </c>
    </row>
    <row r="728" spans="1:2" x14ac:dyDescent="0.3">
      <c r="B728" t="str">
        <f>"               sr_paddr_dat["&amp;A722&amp;"]  &lt;= sr_page_paddr_buf;"</f>
        <v xml:space="preserve">               sr_paddr_dat[65]  &lt;= sr_page_paddr_buf;</v>
      </c>
    </row>
    <row r="729" spans="1:2" x14ac:dyDescent="0.3">
      <c r="B729" t="s">
        <v>3</v>
      </c>
    </row>
    <row r="730" spans="1:2" x14ac:dyDescent="0.3">
      <c r="B730" t="str">
        <f>"               sr_paddr_dat["&amp;A722&amp;"]  &lt;= sr_paddr_dat["&amp;A722&amp;"];"</f>
        <v xml:space="preserve">               sr_paddr_dat[65]  &lt;= sr_paddr_dat[65];</v>
      </c>
    </row>
    <row r="731" spans="1:2" x14ac:dyDescent="0.3">
      <c r="B731" t="s">
        <v>4</v>
      </c>
    </row>
    <row r="732" spans="1:2" x14ac:dyDescent="0.3">
      <c r="B732" t="s">
        <v>5</v>
      </c>
    </row>
    <row r="734" spans="1:2" x14ac:dyDescent="0.3">
      <c r="A734">
        <f>A722+1</f>
        <v>66</v>
      </c>
      <c r="B734" t="str">
        <f>"    // Page Address Resister"&amp;A734</f>
        <v xml:space="preserve">    // Page Address Resister66</v>
      </c>
    </row>
    <row r="735" spans="1:2" x14ac:dyDescent="0.3">
      <c r="A735" t="str">
        <f t="shared" ref="A735" si="4">DEC2HEX(A734)</f>
        <v>42</v>
      </c>
      <c r="B735" t="s">
        <v>0</v>
      </c>
    </row>
    <row r="736" spans="1:2" x14ac:dyDescent="0.3">
      <c r="B736" t="s">
        <v>1</v>
      </c>
    </row>
    <row r="737" spans="1:2" x14ac:dyDescent="0.3">
      <c r="B737" t="str">
        <f>"            sr_paddr_dat["&amp;A734&amp;"]   &lt;= 24'h0;"</f>
        <v xml:space="preserve">            sr_paddr_dat[66]   &lt;= 24'h0;</v>
      </c>
    </row>
    <row r="738" spans="1:2" x14ac:dyDescent="0.3">
      <c r="B738" t="s">
        <v>2</v>
      </c>
    </row>
    <row r="739" spans="1:2" x14ac:dyDescent="0.3">
      <c r="B739" t="str">
        <f>"           if (PADDR_CNT == 7'd"&amp;A734&amp;")"</f>
        <v xml:space="preserve">           if (PADDR_CNT == 7'd66)</v>
      </c>
    </row>
    <row r="740" spans="1:2" x14ac:dyDescent="0.3">
      <c r="B740" t="str">
        <f>"               sr_paddr_dat["&amp;A734&amp;"]  &lt;= sr_page_paddr_buf;"</f>
        <v xml:space="preserve">               sr_paddr_dat[66]  &lt;= sr_page_paddr_buf;</v>
      </c>
    </row>
    <row r="741" spans="1:2" x14ac:dyDescent="0.3">
      <c r="B741" t="s">
        <v>3</v>
      </c>
    </row>
    <row r="742" spans="1:2" x14ac:dyDescent="0.3">
      <c r="B742" t="str">
        <f>"               sr_paddr_dat["&amp;A734&amp;"]  &lt;= sr_paddr_dat["&amp;A734&amp;"];"</f>
        <v xml:space="preserve">               sr_paddr_dat[66]  &lt;= sr_paddr_dat[66];</v>
      </c>
    </row>
    <row r="743" spans="1:2" x14ac:dyDescent="0.3">
      <c r="B743" t="s">
        <v>4</v>
      </c>
    </row>
    <row r="744" spans="1:2" x14ac:dyDescent="0.3">
      <c r="B744" t="s">
        <v>5</v>
      </c>
    </row>
    <row r="746" spans="1:2" x14ac:dyDescent="0.3">
      <c r="A746">
        <f>A734+1</f>
        <v>67</v>
      </c>
      <c r="B746" t="str">
        <f>"    // Page Address Resister"&amp;A746</f>
        <v xml:space="preserve">    // Page Address Resister67</v>
      </c>
    </row>
    <row r="747" spans="1:2" x14ac:dyDescent="0.3">
      <c r="A747" t="str">
        <f t="shared" ref="A747" si="5">DEC2HEX(A746)</f>
        <v>43</v>
      </c>
      <c r="B747" t="s">
        <v>0</v>
      </c>
    </row>
    <row r="748" spans="1:2" x14ac:dyDescent="0.3">
      <c r="B748" t="s">
        <v>1</v>
      </c>
    </row>
    <row r="749" spans="1:2" x14ac:dyDescent="0.3">
      <c r="B749" t="str">
        <f>"            sr_paddr_dat["&amp;A746&amp;"]   &lt;= 24'h0;"</f>
        <v xml:space="preserve">            sr_paddr_dat[67]   &lt;= 24'h0;</v>
      </c>
    </row>
    <row r="750" spans="1:2" x14ac:dyDescent="0.3">
      <c r="B750" t="s">
        <v>2</v>
      </c>
    </row>
    <row r="751" spans="1:2" x14ac:dyDescent="0.3">
      <c r="B751" t="str">
        <f>"           if (PADDR_CNT == 7'd"&amp;A746&amp;")"</f>
        <v xml:space="preserve">           if (PADDR_CNT == 7'd67)</v>
      </c>
    </row>
    <row r="752" spans="1:2" x14ac:dyDescent="0.3">
      <c r="B752" t="str">
        <f>"               sr_paddr_dat["&amp;A746&amp;"]  &lt;= sr_page_paddr_buf;"</f>
        <v xml:space="preserve">               sr_paddr_dat[67]  &lt;= sr_page_paddr_buf;</v>
      </c>
    </row>
    <row r="753" spans="1:2" x14ac:dyDescent="0.3">
      <c r="B753" t="s">
        <v>3</v>
      </c>
    </row>
    <row r="754" spans="1:2" x14ac:dyDescent="0.3">
      <c r="B754" t="str">
        <f>"               sr_paddr_dat["&amp;A746&amp;"]  &lt;= sr_paddr_dat["&amp;A746&amp;"];"</f>
        <v xml:space="preserve">               sr_paddr_dat[67]  &lt;= sr_paddr_dat[67];</v>
      </c>
    </row>
    <row r="755" spans="1:2" x14ac:dyDescent="0.3">
      <c r="B755" t="s">
        <v>4</v>
      </c>
    </row>
    <row r="756" spans="1:2" x14ac:dyDescent="0.3">
      <c r="B756" t="s">
        <v>5</v>
      </c>
    </row>
    <row r="758" spans="1:2" x14ac:dyDescent="0.3">
      <c r="A758">
        <f>A746+1</f>
        <v>68</v>
      </c>
      <c r="B758" t="str">
        <f>"    // Page Address Resister"&amp;A758</f>
        <v xml:space="preserve">    // Page Address Resister68</v>
      </c>
    </row>
    <row r="759" spans="1:2" x14ac:dyDescent="0.3">
      <c r="A759" t="str">
        <f>DEC2HEX(A758)</f>
        <v>44</v>
      </c>
      <c r="B759" t="s">
        <v>0</v>
      </c>
    </row>
    <row r="760" spans="1:2" x14ac:dyDescent="0.3">
      <c r="B760" t="s">
        <v>1</v>
      </c>
    </row>
    <row r="761" spans="1:2" x14ac:dyDescent="0.3">
      <c r="B761" t="str">
        <f>"            sr_paddr_dat["&amp;A758&amp;"]   &lt;= 24'h0;"</f>
        <v xml:space="preserve">            sr_paddr_dat[68]   &lt;= 24'h0;</v>
      </c>
    </row>
    <row r="762" spans="1:2" x14ac:dyDescent="0.3">
      <c r="B762" t="s">
        <v>2</v>
      </c>
    </row>
    <row r="763" spans="1:2" x14ac:dyDescent="0.3">
      <c r="B763" t="str">
        <f>"           if (PADDR_CNT == 7'd"&amp;A758&amp;")"</f>
        <v xml:space="preserve">           if (PADDR_CNT == 7'd68)</v>
      </c>
    </row>
    <row r="764" spans="1:2" x14ac:dyDescent="0.3">
      <c r="B764" t="str">
        <f>"               sr_paddr_dat["&amp;A758&amp;"]  &lt;= sr_page_paddr_buf;"</f>
        <v xml:space="preserve">               sr_paddr_dat[68]  &lt;= sr_page_paddr_buf;</v>
      </c>
    </row>
    <row r="765" spans="1:2" x14ac:dyDescent="0.3">
      <c r="B765" t="s">
        <v>3</v>
      </c>
    </row>
    <row r="766" spans="1:2" x14ac:dyDescent="0.3">
      <c r="B766" t="str">
        <f>"               sr_paddr_dat["&amp;A758&amp;"]  &lt;= sr_paddr_dat["&amp;A758&amp;"];"</f>
        <v xml:space="preserve">               sr_paddr_dat[68]  &lt;= sr_paddr_dat[68];</v>
      </c>
    </row>
    <row r="767" spans="1:2" x14ac:dyDescent="0.3">
      <c r="B767" t="s">
        <v>4</v>
      </c>
    </row>
    <row r="768" spans="1:2" x14ac:dyDescent="0.3">
      <c r="B768" t="s">
        <v>5</v>
      </c>
    </row>
    <row r="770" spans="1:2" x14ac:dyDescent="0.3">
      <c r="A770">
        <f>A758+1</f>
        <v>69</v>
      </c>
      <c r="B770" t="str">
        <f>"    // Page Address Resister"&amp;A770</f>
        <v xml:space="preserve">    // Page Address Resister69</v>
      </c>
    </row>
    <row r="771" spans="1:2" x14ac:dyDescent="0.3">
      <c r="A771" t="str">
        <f>DEC2HEX(A770)</f>
        <v>45</v>
      </c>
      <c r="B771" t="s">
        <v>0</v>
      </c>
    </row>
    <row r="772" spans="1:2" x14ac:dyDescent="0.3">
      <c r="B772" t="s">
        <v>1</v>
      </c>
    </row>
    <row r="773" spans="1:2" x14ac:dyDescent="0.3">
      <c r="B773" t="str">
        <f>"            sr_paddr_dat["&amp;A770&amp;"]   &lt;= 24'h0;"</f>
        <v xml:space="preserve">            sr_paddr_dat[69]   &lt;= 24'h0;</v>
      </c>
    </row>
    <row r="774" spans="1:2" x14ac:dyDescent="0.3">
      <c r="B774" t="s">
        <v>2</v>
      </c>
    </row>
    <row r="775" spans="1:2" x14ac:dyDescent="0.3">
      <c r="B775" t="str">
        <f>"           if (PADDR_CNT == 7'd"&amp;A770&amp;")"</f>
        <v xml:space="preserve">           if (PADDR_CNT == 7'd69)</v>
      </c>
    </row>
    <row r="776" spans="1:2" x14ac:dyDescent="0.3">
      <c r="B776" t="str">
        <f>"               sr_paddr_dat["&amp;A770&amp;"]  &lt;= sr_page_paddr_buf;"</f>
        <v xml:space="preserve">               sr_paddr_dat[69]  &lt;= sr_page_paddr_buf;</v>
      </c>
    </row>
    <row r="777" spans="1:2" x14ac:dyDescent="0.3">
      <c r="B777" t="s">
        <v>3</v>
      </c>
    </row>
    <row r="778" spans="1:2" x14ac:dyDescent="0.3">
      <c r="B778" t="str">
        <f>"               sr_paddr_dat["&amp;A770&amp;"]  &lt;= sr_paddr_dat["&amp;A770&amp;"];"</f>
        <v xml:space="preserve">               sr_paddr_dat[69]  &lt;= sr_paddr_dat[69];</v>
      </c>
    </row>
    <row r="779" spans="1:2" x14ac:dyDescent="0.3">
      <c r="B779" t="s">
        <v>4</v>
      </c>
    </row>
    <row r="780" spans="1:2" x14ac:dyDescent="0.3">
      <c r="B780" t="s">
        <v>5</v>
      </c>
    </row>
    <row r="782" spans="1:2" x14ac:dyDescent="0.3">
      <c r="A782">
        <f>A770+1</f>
        <v>70</v>
      </c>
      <c r="B782" t="str">
        <f>"    // Page Address Resister"&amp;A782</f>
        <v xml:space="preserve">    // Page Address Resister70</v>
      </c>
    </row>
    <row r="783" spans="1:2" x14ac:dyDescent="0.3">
      <c r="A783" t="str">
        <f>DEC2HEX(A782)</f>
        <v>46</v>
      </c>
      <c r="B783" t="s">
        <v>0</v>
      </c>
    </row>
    <row r="784" spans="1:2" x14ac:dyDescent="0.3">
      <c r="B784" t="s">
        <v>1</v>
      </c>
    </row>
    <row r="785" spans="1:2" x14ac:dyDescent="0.3">
      <c r="B785" t="str">
        <f>"            sr_paddr_dat["&amp;A782&amp;"]   &lt;= 24'h0;"</f>
        <v xml:space="preserve">            sr_paddr_dat[70]   &lt;= 24'h0;</v>
      </c>
    </row>
    <row r="786" spans="1:2" x14ac:dyDescent="0.3">
      <c r="B786" t="s">
        <v>2</v>
      </c>
    </row>
    <row r="787" spans="1:2" x14ac:dyDescent="0.3">
      <c r="B787" t="str">
        <f>"           if (PADDR_CNT == 7'd"&amp;A782&amp;")"</f>
        <v xml:space="preserve">           if (PADDR_CNT == 7'd70)</v>
      </c>
    </row>
    <row r="788" spans="1:2" x14ac:dyDescent="0.3">
      <c r="B788" t="str">
        <f>"               sr_paddr_dat["&amp;A782&amp;"]  &lt;= sr_page_paddr_buf;"</f>
        <v xml:space="preserve">               sr_paddr_dat[70]  &lt;= sr_page_paddr_buf;</v>
      </c>
    </row>
    <row r="789" spans="1:2" x14ac:dyDescent="0.3">
      <c r="B789" t="s">
        <v>3</v>
      </c>
    </row>
    <row r="790" spans="1:2" x14ac:dyDescent="0.3">
      <c r="B790" t="str">
        <f>"               sr_paddr_dat["&amp;A782&amp;"]  &lt;= sr_paddr_dat["&amp;A782&amp;"];"</f>
        <v xml:space="preserve">               sr_paddr_dat[70]  &lt;= sr_paddr_dat[70];</v>
      </c>
    </row>
    <row r="791" spans="1:2" x14ac:dyDescent="0.3">
      <c r="B791" t="s">
        <v>4</v>
      </c>
    </row>
    <row r="792" spans="1:2" x14ac:dyDescent="0.3">
      <c r="B792" t="s">
        <v>5</v>
      </c>
    </row>
    <row r="794" spans="1:2" x14ac:dyDescent="0.3">
      <c r="A794">
        <f>A782+1</f>
        <v>71</v>
      </c>
      <c r="B794" t="str">
        <f>"    // Page Address Resister"&amp;A794</f>
        <v xml:space="preserve">    // Page Address Resister71</v>
      </c>
    </row>
    <row r="795" spans="1:2" x14ac:dyDescent="0.3">
      <c r="A795" t="str">
        <f>DEC2HEX(A794)</f>
        <v>47</v>
      </c>
      <c r="B795" t="s">
        <v>0</v>
      </c>
    </row>
    <row r="796" spans="1:2" x14ac:dyDescent="0.3">
      <c r="B796" t="s">
        <v>1</v>
      </c>
    </row>
    <row r="797" spans="1:2" x14ac:dyDescent="0.3">
      <c r="B797" t="str">
        <f>"            sr_paddr_dat["&amp;A794&amp;"]   &lt;= 24'h0;"</f>
        <v xml:space="preserve">            sr_paddr_dat[71]   &lt;= 24'h0;</v>
      </c>
    </row>
    <row r="798" spans="1:2" x14ac:dyDescent="0.3">
      <c r="B798" t="s">
        <v>2</v>
      </c>
    </row>
    <row r="799" spans="1:2" x14ac:dyDescent="0.3">
      <c r="B799" t="str">
        <f>"           if (PADDR_CNT == 7'd"&amp;A794&amp;")"</f>
        <v xml:space="preserve">           if (PADDR_CNT == 7'd71)</v>
      </c>
    </row>
    <row r="800" spans="1:2" x14ac:dyDescent="0.3">
      <c r="B800" t="str">
        <f>"               sr_paddr_dat["&amp;A794&amp;"]  &lt;= sr_page_paddr_buf;"</f>
        <v xml:space="preserve">               sr_paddr_dat[71]  &lt;= sr_page_paddr_buf;</v>
      </c>
    </row>
    <row r="801" spans="1:2" x14ac:dyDescent="0.3">
      <c r="B801" t="s">
        <v>3</v>
      </c>
    </row>
    <row r="802" spans="1:2" x14ac:dyDescent="0.3">
      <c r="B802" t="str">
        <f>"               sr_paddr_dat["&amp;A794&amp;"]  &lt;= sr_paddr_dat["&amp;A794&amp;"];"</f>
        <v xml:space="preserve">               sr_paddr_dat[71]  &lt;= sr_paddr_dat[71];</v>
      </c>
    </row>
    <row r="803" spans="1:2" x14ac:dyDescent="0.3">
      <c r="B803" t="s">
        <v>4</v>
      </c>
    </row>
    <row r="804" spans="1:2" x14ac:dyDescent="0.3">
      <c r="B804" t="s">
        <v>5</v>
      </c>
    </row>
    <row r="806" spans="1:2" x14ac:dyDescent="0.3">
      <c r="A806">
        <f>A794+1</f>
        <v>72</v>
      </c>
      <c r="B806" t="str">
        <f>"    // Page Address Resister"&amp;A806</f>
        <v xml:space="preserve">    // Page Address Resister72</v>
      </c>
    </row>
    <row r="807" spans="1:2" x14ac:dyDescent="0.3">
      <c r="A807" t="str">
        <f>DEC2HEX(A806)</f>
        <v>48</v>
      </c>
      <c r="B807" t="s">
        <v>0</v>
      </c>
    </row>
    <row r="808" spans="1:2" x14ac:dyDescent="0.3">
      <c r="B808" t="s">
        <v>1</v>
      </c>
    </row>
    <row r="809" spans="1:2" x14ac:dyDescent="0.3">
      <c r="B809" t="str">
        <f>"            sr_paddr_dat["&amp;A806&amp;"]   &lt;= 24'h0;"</f>
        <v xml:space="preserve">            sr_paddr_dat[72]   &lt;= 24'h0;</v>
      </c>
    </row>
    <row r="810" spans="1:2" x14ac:dyDescent="0.3">
      <c r="B810" t="s">
        <v>2</v>
      </c>
    </row>
    <row r="811" spans="1:2" x14ac:dyDescent="0.3">
      <c r="B811" t="str">
        <f>"           if (PADDR_CNT == 7'd"&amp;A806&amp;")"</f>
        <v xml:space="preserve">           if (PADDR_CNT == 7'd72)</v>
      </c>
    </row>
    <row r="812" spans="1:2" x14ac:dyDescent="0.3">
      <c r="B812" t="str">
        <f>"               sr_paddr_dat["&amp;A806&amp;"]  &lt;= sr_page_paddr_buf;"</f>
        <v xml:space="preserve">               sr_paddr_dat[72]  &lt;= sr_page_paddr_buf;</v>
      </c>
    </row>
    <row r="813" spans="1:2" x14ac:dyDescent="0.3">
      <c r="B813" t="s">
        <v>3</v>
      </c>
    </row>
    <row r="814" spans="1:2" x14ac:dyDescent="0.3">
      <c r="B814" t="str">
        <f>"               sr_paddr_dat["&amp;A806&amp;"]  &lt;= sr_paddr_dat["&amp;A806&amp;"];"</f>
        <v xml:space="preserve">               sr_paddr_dat[72]  &lt;= sr_paddr_dat[72];</v>
      </c>
    </row>
    <row r="815" spans="1:2" x14ac:dyDescent="0.3">
      <c r="B815" t="s">
        <v>4</v>
      </c>
    </row>
    <row r="816" spans="1:2" x14ac:dyDescent="0.3">
      <c r="B816" t="s">
        <v>5</v>
      </c>
    </row>
    <row r="818" spans="1:2" x14ac:dyDescent="0.3">
      <c r="A818">
        <f>A806+1</f>
        <v>73</v>
      </c>
      <c r="B818" t="str">
        <f>"    // Page Address Resister"&amp;A818</f>
        <v xml:space="preserve">    // Page Address Resister73</v>
      </c>
    </row>
    <row r="819" spans="1:2" x14ac:dyDescent="0.3">
      <c r="A819" t="str">
        <f>DEC2HEX(A818)</f>
        <v>49</v>
      </c>
      <c r="B819" t="s">
        <v>0</v>
      </c>
    </row>
    <row r="820" spans="1:2" x14ac:dyDescent="0.3">
      <c r="B820" t="s">
        <v>1</v>
      </c>
    </row>
    <row r="821" spans="1:2" x14ac:dyDescent="0.3">
      <c r="B821" t="str">
        <f>"            sr_paddr_dat["&amp;A818&amp;"]   &lt;= 24'h0;"</f>
        <v xml:space="preserve">            sr_paddr_dat[73]   &lt;= 24'h0;</v>
      </c>
    </row>
    <row r="822" spans="1:2" x14ac:dyDescent="0.3">
      <c r="B822" t="s">
        <v>2</v>
      </c>
    </row>
    <row r="823" spans="1:2" x14ac:dyDescent="0.3">
      <c r="B823" t="str">
        <f>"           if (PADDR_CNT == 7'd"&amp;A818&amp;")"</f>
        <v xml:space="preserve">           if (PADDR_CNT == 7'd73)</v>
      </c>
    </row>
    <row r="824" spans="1:2" x14ac:dyDescent="0.3">
      <c r="B824" t="str">
        <f>"               sr_paddr_dat["&amp;A818&amp;"]  &lt;= sr_page_paddr_buf;"</f>
        <v xml:space="preserve">               sr_paddr_dat[73]  &lt;= sr_page_paddr_buf;</v>
      </c>
    </row>
    <row r="825" spans="1:2" x14ac:dyDescent="0.3">
      <c r="B825" t="s">
        <v>3</v>
      </c>
    </row>
    <row r="826" spans="1:2" x14ac:dyDescent="0.3">
      <c r="B826" t="str">
        <f>"               sr_paddr_dat["&amp;A818&amp;"]  &lt;= sr_paddr_dat["&amp;A818&amp;"];"</f>
        <v xml:space="preserve">               sr_paddr_dat[73]  &lt;= sr_paddr_dat[73];</v>
      </c>
    </row>
    <row r="827" spans="1:2" x14ac:dyDescent="0.3">
      <c r="B827" t="s">
        <v>4</v>
      </c>
    </row>
    <row r="828" spans="1:2" x14ac:dyDescent="0.3">
      <c r="B828" t="s">
        <v>5</v>
      </c>
    </row>
    <row r="830" spans="1:2" x14ac:dyDescent="0.3">
      <c r="A830">
        <f>A818+1</f>
        <v>74</v>
      </c>
      <c r="B830" t="str">
        <f>"    // Page Address Resister"&amp;A830</f>
        <v xml:space="preserve">    // Page Address Resister74</v>
      </c>
    </row>
    <row r="831" spans="1:2" x14ac:dyDescent="0.3">
      <c r="A831" t="str">
        <f>DEC2HEX(A830)</f>
        <v>4A</v>
      </c>
      <c r="B831" t="s">
        <v>0</v>
      </c>
    </row>
    <row r="832" spans="1:2" x14ac:dyDescent="0.3">
      <c r="B832" t="s">
        <v>1</v>
      </c>
    </row>
    <row r="833" spans="1:2" x14ac:dyDescent="0.3">
      <c r="B833" t="str">
        <f>"            sr_paddr_dat["&amp;A830&amp;"]   &lt;= 24'h0;"</f>
        <v xml:space="preserve">            sr_paddr_dat[74]   &lt;= 24'h0;</v>
      </c>
    </row>
    <row r="834" spans="1:2" x14ac:dyDescent="0.3">
      <c r="B834" t="s">
        <v>2</v>
      </c>
    </row>
    <row r="835" spans="1:2" x14ac:dyDescent="0.3">
      <c r="B835" t="str">
        <f>"           if (PADDR_CNT == 7'd"&amp;A830&amp;")"</f>
        <v xml:space="preserve">           if (PADDR_CNT == 7'd74)</v>
      </c>
    </row>
    <row r="836" spans="1:2" x14ac:dyDescent="0.3">
      <c r="B836" t="str">
        <f>"               sr_paddr_dat["&amp;A830&amp;"]  &lt;= sr_page_paddr_buf;"</f>
        <v xml:space="preserve">               sr_paddr_dat[74]  &lt;= sr_page_paddr_buf;</v>
      </c>
    </row>
    <row r="837" spans="1:2" x14ac:dyDescent="0.3">
      <c r="B837" t="s">
        <v>3</v>
      </c>
    </row>
    <row r="838" spans="1:2" x14ac:dyDescent="0.3">
      <c r="B838" t="str">
        <f>"               sr_paddr_dat["&amp;A830&amp;"]  &lt;= sr_paddr_dat["&amp;A830&amp;"];"</f>
        <v xml:space="preserve">               sr_paddr_dat[74]  &lt;= sr_paddr_dat[74];</v>
      </c>
    </row>
    <row r="839" spans="1:2" x14ac:dyDescent="0.3">
      <c r="B839" t="s">
        <v>4</v>
      </c>
    </row>
    <row r="840" spans="1:2" x14ac:dyDescent="0.3">
      <c r="B840" t="s">
        <v>5</v>
      </c>
    </row>
    <row r="842" spans="1:2" x14ac:dyDescent="0.3">
      <c r="A842">
        <f>A830+1</f>
        <v>75</v>
      </c>
      <c r="B842" t="str">
        <f>"    // Page Address Resister"&amp;A842</f>
        <v xml:space="preserve">    // Page Address Resister75</v>
      </c>
    </row>
    <row r="843" spans="1:2" x14ac:dyDescent="0.3">
      <c r="A843" t="str">
        <f>DEC2HEX(A842)</f>
        <v>4B</v>
      </c>
      <c r="B843" t="s">
        <v>0</v>
      </c>
    </row>
    <row r="844" spans="1:2" x14ac:dyDescent="0.3">
      <c r="B844" t="s">
        <v>1</v>
      </c>
    </row>
    <row r="845" spans="1:2" x14ac:dyDescent="0.3">
      <c r="B845" t="str">
        <f>"            sr_paddr_dat["&amp;A842&amp;"]   &lt;= 24'h0;"</f>
        <v xml:space="preserve">            sr_paddr_dat[75]   &lt;= 24'h0;</v>
      </c>
    </row>
    <row r="846" spans="1:2" x14ac:dyDescent="0.3">
      <c r="B846" t="s">
        <v>2</v>
      </c>
    </row>
    <row r="847" spans="1:2" x14ac:dyDescent="0.3">
      <c r="B847" t="str">
        <f>"           if (PADDR_CNT == 7'd"&amp;A842&amp;")"</f>
        <v xml:space="preserve">           if (PADDR_CNT == 7'd75)</v>
      </c>
    </row>
    <row r="848" spans="1:2" x14ac:dyDescent="0.3">
      <c r="B848" t="str">
        <f>"               sr_paddr_dat["&amp;A842&amp;"]  &lt;= sr_page_paddr_buf;"</f>
        <v xml:space="preserve">               sr_paddr_dat[75]  &lt;= sr_page_paddr_buf;</v>
      </c>
    </row>
    <row r="849" spans="1:2" x14ac:dyDescent="0.3">
      <c r="B849" t="s">
        <v>3</v>
      </c>
    </row>
    <row r="850" spans="1:2" x14ac:dyDescent="0.3">
      <c r="B850" t="str">
        <f>"               sr_paddr_dat["&amp;A842&amp;"]  &lt;= sr_paddr_dat["&amp;A842&amp;"];"</f>
        <v xml:space="preserve">               sr_paddr_dat[75]  &lt;= sr_paddr_dat[75];</v>
      </c>
    </row>
    <row r="851" spans="1:2" x14ac:dyDescent="0.3">
      <c r="B851" t="s">
        <v>4</v>
      </c>
    </row>
    <row r="852" spans="1:2" x14ac:dyDescent="0.3">
      <c r="B852" t="s">
        <v>5</v>
      </c>
    </row>
    <row r="854" spans="1:2" x14ac:dyDescent="0.3">
      <c r="A854">
        <f>A842+1</f>
        <v>76</v>
      </c>
      <c r="B854" t="str">
        <f>"    // Page Address Resister"&amp;A854</f>
        <v xml:space="preserve">    // Page Address Resister76</v>
      </c>
    </row>
    <row r="855" spans="1:2" x14ac:dyDescent="0.3">
      <c r="A855" t="str">
        <f>DEC2HEX(A854)</f>
        <v>4C</v>
      </c>
      <c r="B855" t="s">
        <v>0</v>
      </c>
    </row>
    <row r="856" spans="1:2" x14ac:dyDescent="0.3">
      <c r="B856" t="s">
        <v>1</v>
      </c>
    </row>
    <row r="857" spans="1:2" x14ac:dyDescent="0.3">
      <c r="B857" t="str">
        <f>"            sr_paddr_dat["&amp;A854&amp;"]   &lt;= 24'h0;"</f>
        <v xml:space="preserve">            sr_paddr_dat[76]   &lt;= 24'h0;</v>
      </c>
    </row>
    <row r="858" spans="1:2" x14ac:dyDescent="0.3">
      <c r="B858" t="s">
        <v>2</v>
      </c>
    </row>
    <row r="859" spans="1:2" x14ac:dyDescent="0.3">
      <c r="B859" t="str">
        <f>"           if (PADDR_CNT == 7'd"&amp;A854&amp;")"</f>
        <v xml:space="preserve">           if (PADDR_CNT == 7'd76)</v>
      </c>
    </row>
    <row r="860" spans="1:2" x14ac:dyDescent="0.3">
      <c r="B860" t="str">
        <f>"               sr_paddr_dat["&amp;A854&amp;"]  &lt;= sr_page_paddr_buf;"</f>
        <v xml:space="preserve">               sr_paddr_dat[76]  &lt;= sr_page_paddr_buf;</v>
      </c>
    </row>
    <row r="861" spans="1:2" x14ac:dyDescent="0.3">
      <c r="B861" t="s">
        <v>3</v>
      </c>
    </row>
    <row r="862" spans="1:2" x14ac:dyDescent="0.3">
      <c r="B862" t="str">
        <f>"               sr_paddr_dat["&amp;A854&amp;"]  &lt;= sr_paddr_dat["&amp;A854&amp;"];"</f>
        <v xml:space="preserve">               sr_paddr_dat[76]  &lt;= sr_paddr_dat[76];</v>
      </c>
    </row>
    <row r="863" spans="1:2" x14ac:dyDescent="0.3">
      <c r="B863" t="s">
        <v>4</v>
      </c>
    </row>
    <row r="864" spans="1:2" x14ac:dyDescent="0.3">
      <c r="B864" t="s">
        <v>5</v>
      </c>
    </row>
    <row r="866" spans="1:2" x14ac:dyDescent="0.3">
      <c r="A866">
        <f>A854+1</f>
        <v>77</v>
      </c>
      <c r="B866" t="str">
        <f>"    // Page Address Resister"&amp;A866</f>
        <v xml:space="preserve">    // Page Address Resister77</v>
      </c>
    </row>
    <row r="867" spans="1:2" x14ac:dyDescent="0.3">
      <c r="A867" t="str">
        <f>DEC2HEX(A866)</f>
        <v>4D</v>
      </c>
      <c r="B867" t="s">
        <v>0</v>
      </c>
    </row>
    <row r="868" spans="1:2" x14ac:dyDescent="0.3">
      <c r="B868" t="s">
        <v>1</v>
      </c>
    </row>
    <row r="869" spans="1:2" x14ac:dyDescent="0.3">
      <c r="B869" t="str">
        <f>"            sr_paddr_dat["&amp;A866&amp;"]   &lt;= 24'h0;"</f>
        <v xml:space="preserve">            sr_paddr_dat[77]   &lt;= 24'h0;</v>
      </c>
    </row>
    <row r="870" spans="1:2" x14ac:dyDescent="0.3">
      <c r="B870" t="s">
        <v>2</v>
      </c>
    </row>
    <row r="871" spans="1:2" x14ac:dyDescent="0.3">
      <c r="B871" t="str">
        <f>"           if (PADDR_CNT == 7'd"&amp;A866&amp;")"</f>
        <v xml:space="preserve">           if (PADDR_CNT == 7'd77)</v>
      </c>
    </row>
    <row r="872" spans="1:2" x14ac:dyDescent="0.3">
      <c r="B872" t="str">
        <f>"               sr_paddr_dat["&amp;A866&amp;"]  &lt;= sr_page_paddr_buf;"</f>
        <v xml:space="preserve">               sr_paddr_dat[77]  &lt;= sr_page_paddr_buf;</v>
      </c>
    </row>
    <row r="873" spans="1:2" x14ac:dyDescent="0.3">
      <c r="B873" t="s">
        <v>3</v>
      </c>
    </row>
    <row r="874" spans="1:2" x14ac:dyDescent="0.3">
      <c r="B874" t="str">
        <f>"               sr_paddr_dat["&amp;A866&amp;"]  &lt;= sr_paddr_dat["&amp;A866&amp;"];"</f>
        <v xml:space="preserve">               sr_paddr_dat[77]  &lt;= sr_paddr_dat[77];</v>
      </c>
    </row>
    <row r="875" spans="1:2" x14ac:dyDescent="0.3">
      <c r="B875" t="s">
        <v>4</v>
      </c>
    </row>
    <row r="876" spans="1:2" x14ac:dyDescent="0.3">
      <c r="B876" t="s">
        <v>5</v>
      </c>
    </row>
    <row r="878" spans="1:2" x14ac:dyDescent="0.3">
      <c r="A878">
        <f>A866+1</f>
        <v>78</v>
      </c>
      <c r="B878" t="str">
        <f>"    // Page Address Resister"&amp;A878</f>
        <v xml:space="preserve">    // Page Address Resister78</v>
      </c>
    </row>
    <row r="879" spans="1:2" x14ac:dyDescent="0.3">
      <c r="A879" t="str">
        <f>DEC2HEX(A878)</f>
        <v>4E</v>
      </c>
      <c r="B879" t="s">
        <v>0</v>
      </c>
    </row>
    <row r="880" spans="1:2" x14ac:dyDescent="0.3">
      <c r="B880" t="s">
        <v>1</v>
      </c>
    </row>
    <row r="881" spans="1:2" x14ac:dyDescent="0.3">
      <c r="B881" t="str">
        <f>"            sr_paddr_dat["&amp;A878&amp;"]   &lt;= 24'h0;"</f>
        <v xml:space="preserve">            sr_paddr_dat[78]   &lt;= 24'h0;</v>
      </c>
    </row>
    <row r="882" spans="1:2" x14ac:dyDescent="0.3">
      <c r="B882" t="s">
        <v>2</v>
      </c>
    </row>
    <row r="883" spans="1:2" x14ac:dyDescent="0.3">
      <c r="B883" t="str">
        <f>"           if (PADDR_CNT == 7'd"&amp;A878&amp;")"</f>
        <v xml:space="preserve">           if (PADDR_CNT == 7'd78)</v>
      </c>
    </row>
    <row r="884" spans="1:2" x14ac:dyDescent="0.3">
      <c r="B884" t="str">
        <f>"               sr_paddr_dat["&amp;A878&amp;"]  &lt;= sr_page_paddr_buf;"</f>
        <v xml:space="preserve">               sr_paddr_dat[78]  &lt;= sr_page_paddr_buf;</v>
      </c>
    </row>
    <row r="885" spans="1:2" x14ac:dyDescent="0.3">
      <c r="B885" t="s">
        <v>3</v>
      </c>
    </row>
    <row r="886" spans="1:2" x14ac:dyDescent="0.3">
      <c r="B886" t="str">
        <f>"               sr_paddr_dat["&amp;A878&amp;"]  &lt;= sr_paddr_dat["&amp;A878&amp;"];"</f>
        <v xml:space="preserve">               sr_paddr_dat[78]  &lt;= sr_paddr_dat[78];</v>
      </c>
    </row>
    <row r="887" spans="1:2" x14ac:dyDescent="0.3">
      <c r="B887" t="s">
        <v>4</v>
      </c>
    </row>
    <row r="888" spans="1:2" x14ac:dyDescent="0.3">
      <c r="B888" t="s">
        <v>5</v>
      </c>
    </row>
    <row r="890" spans="1:2" x14ac:dyDescent="0.3">
      <c r="A890">
        <f>A878+1</f>
        <v>79</v>
      </c>
      <c r="B890" t="str">
        <f>"    // Page Address Resister"&amp;A890</f>
        <v xml:space="preserve">    // Page Address Resister79</v>
      </c>
    </row>
    <row r="891" spans="1:2" x14ac:dyDescent="0.3">
      <c r="A891" t="str">
        <f>DEC2HEX(A890)</f>
        <v>4F</v>
      </c>
      <c r="B891" t="s">
        <v>0</v>
      </c>
    </row>
    <row r="892" spans="1:2" x14ac:dyDescent="0.3">
      <c r="B892" t="s">
        <v>1</v>
      </c>
    </row>
    <row r="893" spans="1:2" x14ac:dyDescent="0.3">
      <c r="B893" t="str">
        <f>"            sr_paddr_dat["&amp;A890&amp;"]   &lt;= 24'h0;"</f>
        <v xml:space="preserve">            sr_paddr_dat[79]   &lt;= 24'h0;</v>
      </c>
    </row>
    <row r="894" spans="1:2" x14ac:dyDescent="0.3">
      <c r="B894" t="s">
        <v>2</v>
      </c>
    </row>
    <row r="895" spans="1:2" x14ac:dyDescent="0.3">
      <c r="B895" t="str">
        <f>"           if (PADDR_CNT == 7'd"&amp;A890&amp;")"</f>
        <v xml:space="preserve">           if (PADDR_CNT == 7'd79)</v>
      </c>
    </row>
    <row r="896" spans="1:2" x14ac:dyDescent="0.3">
      <c r="B896" t="str">
        <f>"               sr_paddr_dat["&amp;A890&amp;"]  &lt;= sr_page_paddr_buf;"</f>
        <v xml:space="preserve">               sr_paddr_dat[79]  &lt;= sr_page_paddr_buf;</v>
      </c>
    </row>
    <row r="897" spans="1:2" x14ac:dyDescent="0.3">
      <c r="B897" t="s">
        <v>3</v>
      </c>
    </row>
    <row r="898" spans="1:2" x14ac:dyDescent="0.3">
      <c r="B898" t="str">
        <f>"               sr_paddr_dat["&amp;A890&amp;"]  &lt;= sr_paddr_dat["&amp;A890&amp;"];"</f>
        <v xml:space="preserve">               sr_paddr_dat[79]  &lt;= sr_paddr_dat[79];</v>
      </c>
    </row>
    <row r="899" spans="1:2" x14ac:dyDescent="0.3">
      <c r="B899" t="s">
        <v>4</v>
      </c>
    </row>
    <row r="900" spans="1:2" x14ac:dyDescent="0.3">
      <c r="B900" t="s">
        <v>5</v>
      </c>
    </row>
    <row r="902" spans="1:2" x14ac:dyDescent="0.3">
      <c r="A902">
        <f>A890+1</f>
        <v>80</v>
      </c>
      <c r="B902" t="str">
        <f>"    // Page Address Resister"&amp;A902</f>
        <v xml:space="preserve">    // Page Address Resister80</v>
      </c>
    </row>
    <row r="903" spans="1:2" x14ac:dyDescent="0.3">
      <c r="A903" t="str">
        <f>DEC2HEX(A902)</f>
        <v>50</v>
      </c>
      <c r="B903" t="s">
        <v>0</v>
      </c>
    </row>
    <row r="904" spans="1:2" x14ac:dyDescent="0.3">
      <c r="B904" t="s">
        <v>1</v>
      </c>
    </row>
    <row r="905" spans="1:2" x14ac:dyDescent="0.3">
      <c r="B905" t="str">
        <f>"            sr_paddr_dat["&amp;A902&amp;"]   &lt;= 24'h0;"</f>
        <v xml:space="preserve">            sr_paddr_dat[80]   &lt;= 24'h0;</v>
      </c>
    </row>
    <row r="906" spans="1:2" x14ac:dyDescent="0.3">
      <c r="B906" t="s">
        <v>2</v>
      </c>
    </row>
    <row r="907" spans="1:2" x14ac:dyDescent="0.3">
      <c r="B907" t="str">
        <f>"           if (PADDR_CNT == 7'd"&amp;A902&amp;")"</f>
        <v xml:space="preserve">           if (PADDR_CNT == 7'd80)</v>
      </c>
    </row>
    <row r="908" spans="1:2" x14ac:dyDescent="0.3">
      <c r="B908" t="str">
        <f>"               sr_paddr_dat["&amp;A902&amp;"]  &lt;= sr_page_paddr_buf;"</f>
        <v xml:space="preserve">               sr_paddr_dat[80]  &lt;= sr_page_paddr_buf;</v>
      </c>
    </row>
    <row r="909" spans="1:2" x14ac:dyDescent="0.3">
      <c r="B909" t="s">
        <v>3</v>
      </c>
    </row>
    <row r="910" spans="1:2" x14ac:dyDescent="0.3">
      <c r="B910" t="str">
        <f>"               sr_paddr_dat["&amp;A902&amp;"]  &lt;= sr_paddr_dat["&amp;A902&amp;"];"</f>
        <v xml:space="preserve">               sr_paddr_dat[80]  &lt;= sr_paddr_dat[80];</v>
      </c>
    </row>
    <row r="911" spans="1:2" x14ac:dyDescent="0.3">
      <c r="B911" t="s">
        <v>4</v>
      </c>
    </row>
    <row r="912" spans="1:2" x14ac:dyDescent="0.3">
      <c r="B912" t="s">
        <v>5</v>
      </c>
    </row>
    <row r="914" spans="1:2" x14ac:dyDescent="0.3">
      <c r="A914">
        <f>A902+1</f>
        <v>81</v>
      </c>
      <c r="B914" t="str">
        <f>"    // Page Address Resister"&amp;A914</f>
        <v xml:space="preserve">    // Page Address Resister81</v>
      </c>
    </row>
    <row r="915" spans="1:2" x14ac:dyDescent="0.3">
      <c r="A915" t="str">
        <f>DEC2HEX(A914)</f>
        <v>51</v>
      </c>
      <c r="B915" t="s">
        <v>0</v>
      </c>
    </row>
    <row r="916" spans="1:2" x14ac:dyDescent="0.3">
      <c r="B916" t="s">
        <v>1</v>
      </c>
    </row>
    <row r="917" spans="1:2" x14ac:dyDescent="0.3">
      <c r="B917" t="str">
        <f>"            sr_paddr_dat["&amp;A914&amp;"]   &lt;= 24'h0;"</f>
        <v xml:space="preserve">            sr_paddr_dat[81]   &lt;= 24'h0;</v>
      </c>
    </row>
    <row r="918" spans="1:2" x14ac:dyDescent="0.3">
      <c r="B918" t="s">
        <v>2</v>
      </c>
    </row>
    <row r="919" spans="1:2" x14ac:dyDescent="0.3">
      <c r="B919" t="str">
        <f>"           if (PADDR_CNT == 7'd"&amp;A914&amp;")"</f>
        <v xml:space="preserve">           if (PADDR_CNT == 7'd81)</v>
      </c>
    </row>
    <row r="920" spans="1:2" x14ac:dyDescent="0.3">
      <c r="B920" t="str">
        <f>"               sr_paddr_dat["&amp;A914&amp;"]  &lt;= sr_page_paddr_buf;"</f>
        <v xml:space="preserve">               sr_paddr_dat[81]  &lt;= sr_page_paddr_buf;</v>
      </c>
    </row>
    <row r="921" spans="1:2" x14ac:dyDescent="0.3">
      <c r="B921" t="s">
        <v>3</v>
      </c>
    </row>
    <row r="922" spans="1:2" x14ac:dyDescent="0.3">
      <c r="B922" t="str">
        <f>"               sr_paddr_dat["&amp;A914&amp;"]  &lt;= sr_paddr_dat["&amp;A914&amp;"];"</f>
        <v xml:space="preserve">               sr_paddr_dat[81]  &lt;= sr_paddr_dat[81];</v>
      </c>
    </row>
    <row r="923" spans="1:2" x14ac:dyDescent="0.3">
      <c r="B923" t="s">
        <v>4</v>
      </c>
    </row>
    <row r="924" spans="1:2" x14ac:dyDescent="0.3">
      <c r="B924" t="s">
        <v>5</v>
      </c>
    </row>
    <row r="926" spans="1:2" x14ac:dyDescent="0.3">
      <c r="A926">
        <f>A914+1</f>
        <v>82</v>
      </c>
      <c r="B926" t="str">
        <f>"    // Page Address Resister"&amp;A926</f>
        <v xml:space="preserve">    // Page Address Resister82</v>
      </c>
    </row>
    <row r="927" spans="1:2" x14ac:dyDescent="0.3">
      <c r="A927" t="str">
        <f>DEC2HEX(A926)</f>
        <v>52</v>
      </c>
      <c r="B927" t="s">
        <v>0</v>
      </c>
    </row>
    <row r="928" spans="1:2" x14ac:dyDescent="0.3">
      <c r="B928" t="s">
        <v>1</v>
      </c>
    </row>
    <row r="929" spans="1:2" x14ac:dyDescent="0.3">
      <c r="B929" t="str">
        <f>"            sr_paddr_dat["&amp;A926&amp;"]   &lt;= 24'h0;"</f>
        <v xml:space="preserve">            sr_paddr_dat[82]   &lt;= 24'h0;</v>
      </c>
    </row>
    <row r="930" spans="1:2" x14ac:dyDescent="0.3">
      <c r="B930" t="s">
        <v>2</v>
      </c>
    </row>
    <row r="931" spans="1:2" x14ac:dyDescent="0.3">
      <c r="B931" t="str">
        <f>"           if (PADDR_CNT == 7'd"&amp;A926&amp;")"</f>
        <v xml:space="preserve">           if (PADDR_CNT == 7'd82)</v>
      </c>
    </row>
    <row r="932" spans="1:2" x14ac:dyDescent="0.3">
      <c r="B932" t="str">
        <f>"               sr_paddr_dat["&amp;A926&amp;"]  &lt;= sr_page_paddr_buf;"</f>
        <v xml:space="preserve">               sr_paddr_dat[82]  &lt;= sr_page_paddr_buf;</v>
      </c>
    </row>
    <row r="933" spans="1:2" x14ac:dyDescent="0.3">
      <c r="B933" t="s">
        <v>3</v>
      </c>
    </row>
    <row r="934" spans="1:2" x14ac:dyDescent="0.3">
      <c r="B934" t="str">
        <f>"               sr_paddr_dat["&amp;A926&amp;"]  &lt;= sr_paddr_dat["&amp;A926&amp;"];"</f>
        <v xml:space="preserve">               sr_paddr_dat[82]  &lt;= sr_paddr_dat[82];</v>
      </c>
    </row>
    <row r="935" spans="1:2" x14ac:dyDescent="0.3">
      <c r="B935" t="s">
        <v>4</v>
      </c>
    </row>
    <row r="936" spans="1:2" x14ac:dyDescent="0.3">
      <c r="B936" t="s">
        <v>5</v>
      </c>
    </row>
    <row r="938" spans="1:2" x14ac:dyDescent="0.3">
      <c r="A938">
        <f>A926+1</f>
        <v>83</v>
      </c>
      <c r="B938" t="str">
        <f>"    // Page Address Resister"&amp;A938</f>
        <v xml:space="preserve">    // Page Address Resister83</v>
      </c>
    </row>
    <row r="939" spans="1:2" x14ac:dyDescent="0.3">
      <c r="A939" t="str">
        <f>DEC2HEX(A938)</f>
        <v>53</v>
      </c>
      <c r="B939" t="s">
        <v>0</v>
      </c>
    </row>
    <row r="940" spans="1:2" x14ac:dyDescent="0.3">
      <c r="B940" t="s">
        <v>1</v>
      </c>
    </row>
    <row r="941" spans="1:2" x14ac:dyDescent="0.3">
      <c r="B941" t="str">
        <f>"            sr_paddr_dat["&amp;A938&amp;"]   &lt;= 24'h0;"</f>
        <v xml:space="preserve">            sr_paddr_dat[83]   &lt;= 24'h0;</v>
      </c>
    </row>
    <row r="942" spans="1:2" x14ac:dyDescent="0.3">
      <c r="B942" t="s">
        <v>2</v>
      </c>
    </row>
    <row r="943" spans="1:2" x14ac:dyDescent="0.3">
      <c r="B943" t="str">
        <f>"           if (PADDR_CNT == 7'd"&amp;A938&amp;")"</f>
        <v xml:space="preserve">           if (PADDR_CNT == 7'd83)</v>
      </c>
    </row>
    <row r="944" spans="1:2" x14ac:dyDescent="0.3">
      <c r="B944" t="str">
        <f>"               sr_paddr_dat["&amp;A938&amp;"]  &lt;= sr_page_paddr_buf;"</f>
        <v xml:space="preserve">               sr_paddr_dat[83]  &lt;= sr_page_paddr_buf;</v>
      </c>
    </row>
    <row r="945" spans="1:2" x14ac:dyDescent="0.3">
      <c r="B945" t="s">
        <v>3</v>
      </c>
    </row>
    <row r="946" spans="1:2" x14ac:dyDescent="0.3">
      <c r="B946" t="str">
        <f>"               sr_paddr_dat["&amp;A938&amp;"]  &lt;= sr_paddr_dat["&amp;A938&amp;"];"</f>
        <v xml:space="preserve">               sr_paddr_dat[83]  &lt;= sr_paddr_dat[83];</v>
      </c>
    </row>
    <row r="947" spans="1:2" x14ac:dyDescent="0.3">
      <c r="B947" t="s">
        <v>4</v>
      </c>
    </row>
    <row r="948" spans="1:2" x14ac:dyDescent="0.3">
      <c r="B948" t="s">
        <v>5</v>
      </c>
    </row>
    <row r="950" spans="1:2" x14ac:dyDescent="0.3">
      <c r="A950">
        <f>A938+1</f>
        <v>84</v>
      </c>
      <c r="B950" t="str">
        <f>"    // Page Address Resister"&amp;A950</f>
        <v xml:space="preserve">    // Page Address Resister84</v>
      </c>
    </row>
    <row r="951" spans="1:2" x14ac:dyDescent="0.3">
      <c r="A951" t="str">
        <f>DEC2HEX(A950)</f>
        <v>54</v>
      </c>
      <c r="B951" t="s">
        <v>0</v>
      </c>
    </row>
    <row r="952" spans="1:2" x14ac:dyDescent="0.3">
      <c r="B952" t="s">
        <v>1</v>
      </c>
    </row>
    <row r="953" spans="1:2" x14ac:dyDescent="0.3">
      <c r="B953" t="str">
        <f>"            sr_paddr_dat["&amp;A950&amp;"]   &lt;= 24'h0;"</f>
        <v xml:space="preserve">            sr_paddr_dat[84]   &lt;= 24'h0;</v>
      </c>
    </row>
    <row r="954" spans="1:2" x14ac:dyDescent="0.3">
      <c r="B954" t="s">
        <v>2</v>
      </c>
    </row>
    <row r="955" spans="1:2" x14ac:dyDescent="0.3">
      <c r="B955" t="str">
        <f>"           if (PADDR_CNT == 7'd"&amp;A950&amp;")"</f>
        <v xml:space="preserve">           if (PADDR_CNT == 7'd84)</v>
      </c>
    </row>
    <row r="956" spans="1:2" x14ac:dyDescent="0.3">
      <c r="B956" t="str">
        <f>"               sr_paddr_dat["&amp;A950&amp;"]  &lt;= sr_page_paddr_buf;"</f>
        <v xml:space="preserve">               sr_paddr_dat[84]  &lt;= sr_page_paddr_buf;</v>
      </c>
    </row>
    <row r="957" spans="1:2" x14ac:dyDescent="0.3">
      <c r="B957" t="s">
        <v>3</v>
      </c>
    </row>
    <row r="958" spans="1:2" x14ac:dyDescent="0.3">
      <c r="B958" t="str">
        <f>"               sr_paddr_dat["&amp;A950&amp;"]  &lt;= sr_paddr_dat["&amp;A950&amp;"];"</f>
        <v xml:space="preserve">               sr_paddr_dat[84]  &lt;= sr_paddr_dat[84];</v>
      </c>
    </row>
    <row r="959" spans="1:2" x14ac:dyDescent="0.3">
      <c r="B959" t="s">
        <v>4</v>
      </c>
    </row>
    <row r="960" spans="1:2" x14ac:dyDescent="0.3">
      <c r="B960" t="s">
        <v>5</v>
      </c>
    </row>
    <row r="962" spans="1:2" x14ac:dyDescent="0.3">
      <c r="A962">
        <f>A950+1</f>
        <v>85</v>
      </c>
      <c r="B962" t="str">
        <f>"    // Page Address Resister"&amp;A962</f>
        <v xml:space="preserve">    // Page Address Resister85</v>
      </c>
    </row>
    <row r="963" spans="1:2" x14ac:dyDescent="0.3">
      <c r="A963" t="str">
        <f>DEC2HEX(A962)</f>
        <v>55</v>
      </c>
      <c r="B963" t="s">
        <v>0</v>
      </c>
    </row>
    <row r="964" spans="1:2" x14ac:dyDescent="0.3">
      <c r="B964" t="s">
        <v>1</v>
      </c>
    </row>
    <row r="965" spans="1:2" x14ac:dyDescent="0.3">
      <c r="B965" t="str">
        <f>"            sr_paddr_dat["&amp;A962&amp;"]   &lt;= 24'h0;"</f>
        <v xml:space="preserve">            sr_paddr_dat[85]   &lt;= 24'h0;</v>
      </c>
    </row>
    <row r="966" spans="1:2" x14ac:dyDescent="0.3">
      <c r="B966" t="s">
        <v>2</v>
      </c>
    </row>
    <row r="967" spans="1:2" x14ac:dyDescent="0.3">
      <c r="B967" t="str">
        <f>"           if (PADDR_CNT == 7'd"&amp;A962&amp;")"</f>
        <v xml:space="preserve">           if (PADDR_CNT == 7'd85)</v>
      </c>
    </row>
    <row r="968" spans="1:2" x14ac:dyDescent="0.3">
      <c r="B968" t="str">
        <f>"               sr_paddr_dat["&amp;A962&amp;"]  &lt;= sr_page_paddr_buf;"</f>
        <v xml:space="preserve">               sr_paddr_dat[85]  &lt;= sr_page_paddr_buf;</v>
      </c>
    </row>
    <row r="969" spans="1:2" x14ac:dyDescent="0.3">
      <c r="B969" t="s">
        <v>3</v>
      </c>
    </row>
    <row r="970" spans="1:2" x14ac:dyDescent="0.3">
      <c r="B970" t="str">
        <f>"               sr_paddr_dat["&amp;A962&amp;"]  &lt;= sr_paddr_dat["&amp;A962&amp;"];"</f>
        <v xml:space="preserve">               sr_paddr_dat[85]  &lt;= sr_paddr_dat[85];</v>
      </c>
    </row>
    <row r="971" spans="1:2" x14ac:dyDescent="0.3">
      <c r="B971" t="s">
        <v>4</v>
      </c>
    </row>
    <row r="972" spans="1:2" x14ac:dyDescent="0.3">
      <c r="B972" t="s">
        <v>5</v>
      </c>
    </row>
    <row r="974" spans="1:2" x14ac:dyDescent="0.3">
      <c r="A974">
        <f>A962+1</f>
        <v>86</v>
      </c>
      <c r="B974" t="str">
        <f>"    // Page Address Resister"&amp;A974</f>
        <v xml:space="preserve">    // Page Address Resister86</v>
      </c>
    </row>
    <row r="975" spans="1:2" x14ac:dyDescent="0.3">
      <c r="A975" t="str">
        <f>DEC2HEX(A974)</f>
        <v>56</v>
      </c>
      <c r="B975" t="s">
        <v>0</v>
      </c>
    </row>
    <row r="976" spans="1:2" x14ac:dyDescent="0.3">
      <c r="B976" t="s">
        <v>1</v>
      </c>
    </row>
    <row r="977" spans="1:2" x14ac:dyDescent="0.3">
      <c r="B977" t="str">
        <f>"            sr_paddr_dat["&amp;A974&amp;"]   &lt;= 24'h0;"</f>
        <v xml:space="preserve">            sr_paddr_dat[86]   &lt;= 24'h0;</v>
      </c>
    </row>
    <row r="978" spans="1:2" x14ac:dyDescent="0.3">
      <c r="B978" t="s">
        <v>2</v>
      </c>
    </row>
    <row r="979" spans="1:2" x14ac:dyDescent="0.3">
      <c r="B979" t="str">
        <f>"           if (PADDR_CNT == 7'd"&amp;A974&amp;")"</f>
        <v xml:space="preserve">           if (PADDR_CNT == 7'd86)</v>
      </c>
    </row>
    <row r="980" spans="1:2" x14ac:dyDescent="0.3">
      <c r="B980" t="str">
        <f>"               sr_paddr_dat["&amp;A974&amp;"]  &lt;= sr_page_paddr_buf;"</f>
        <v xml:space="preserve">               sr_paddr_dat[86]  &lt;= sr_page_paddr_buf;</v>
      </c>
    </row>
    <row r="981" spans="1:2" x14ac:dyDescent="0.3">
      <c r="B981" t="s">
        <v>3</v>
      </c>
    </row>
    <row r="982" spans="1:2" x14ac:dyDescent="0.3">
      <c r="B982" t="str">
        <f>"               sr_paddr_dat["&amp;A974&amp;"]  &lt;= sr_paddr_dat["&amp;A974&amp;"];"</f>
        <v xml:space="preserve">               sr_paddr_dat[86]  &lt;= sr_paddr_dat[86];</v>
      </c>
    </row>
    <row r="983" spans="1:2" x14ac:dyDescent="0.3">
      <c r="B983" t="s">
        <v>4</v>
      </c>
    </row>
    <row r="984" spans="1:2" x14ac:dyDescent="0.3">
      <c r="B984" t="s">
        <v>5</v>
      </c>
    </row>
    <row r="986" spans="1:2" x14ac:dyDescent="0.3">
      <c r="A986">
        <f>A974+1</f>
        <v>87</v>
      </c>
      <c r="B986" t="str">
        <f>"    // Page Address Resister"&amp;A986</f>
        <v xml:space="preserve">    // Page Address Resister87</v>
      </c>
    </row>
    <row r="987" spans="1:2" x14ac:dyDescent="0.3">
      <c r="A987" t="str">
        <f>DEC2HEX(A986)</f>
        <v>57</v>
      </c>
      <c r="B987" t="s">
        <v>0</v>
      </c>
    </row>
    <row r="988" spans="1:2" x14ac:dyDescent="0.3">
      <c r="B988" t="s">
        <v>1</v>
      </c>
    </row>
    <row r="989" spans="1:2" x14ac:dyDescent="0.3">
      <c r="B989" t="str">
        <f>"            sr_paddr_dat["&amp;A986&amp;"]   &lt;= 24'h0;"</f>
        <v xml:space="preserve">            sr_paddr_dat[87]   &lt;= 24'h0;</v>
      </c>
    </row>
    <row r="990" spans="1:2" x14ac:dyDescent="0.3">
      <c r="B990" t="s">
        <v>2</v>
      </c>
    </row>
    <row r="991" spans="1:2" x14ac:dyDescent="0.3">
      <c r="B991" t="str">
        <f>"           if (PADDR_CNT == 7'd"&amp;A986&amp;")"</f>
        <v xml:space="preserve">           if (PADDR_CNT == 7'd87)</v>
      </c>
    </row>
    <row r="992" spans="1:2" x14ac:dyDescent="0.3">
      <c r="B992" t="str">
        <f>"               sr_paddr_dat["&amp;A986&amp;"]  &lt;= sr_page_paddr_buf;"</f>
        <v xml:space="preserve">               sr_paddr_dat[87]  &lt;= sr_page_paddr_buf;</v>
      </c>
    </row>
    <row r="993" spans="1:2" x14ac:dyDescent="0.3">
      <c r="B993" t="s">
        <v>3</v>
      </c>
    </row>
    <row r="994" spans="1:2" x14ac:dyDescent="0.3">
      <c r="B994" t="str">
        <f>"               sr_paddr_dat["&amp;A986&amp;"]  &lt;= sr_paddr_dat["&amp;A986&amp;"];"</f>
        <v xml:space="preserve">               sr_paddr_dat[87]  &lt;= sr_paddr_dat[87];</v>
      </c>
    </row>
    <row r="995" spans="1:2" x14ac:dyDescent="0.3">
      <c r="B995" t="s">
        <v>4</v>
      </c>
    </row>
    <row r="996" spans="1:2" x14ac:dyDescent="0.3">
      <c r="B996" t="s">
        <v>5</v>
      </c>
    </row>
    <row r="998" spans="1:2" x14ac:dyDescent="0.3">
      <c r="A998">
        <f>A986+1</f>
        <v>88</v>
      </c>
      <c r="B998" t="str">
        <f>"    // Page Address Resister"&amp;A998</f>
        <v xml:space="preserve">    // Page Address Resister88</v>
      </c>
    </row>
    <row r="999" spans="1:2" x14ac:dyDescent="0.3">
      <c r="A999" t="str">
        <f>DEC2HEX(A998)</f>
        <v>58</v>
      </c>
      <c r="B999" t="s">
        <v>0</v>
      </c>
    </row>
    <row r="1000" spans="1:2" x14ac:dyDescent="0.3">
      <c r="B1000" t="s">
        <v>1</v>
      </c>
    </row>
    <row r="1001" spans="1:2" x14ac:dyDescent="0.3">
      <c r="B1001" t="str">
        <f>"            sr_paddr_dat["&amp;A998&amp;"]   &lt;= 24'h0;"</f>
        <v xml:space="preserve">            sr_paddr_dat[88]   &lt;= 24'h0;</v>
      </c>
    </row>
    <row r="1002" spans="1:2" x14ac:dyDescent="0.3">
      <c r="B1002" t="s">
        <v>2</v>
      </c>
    </row>
    <row r="1003" spans="1:2" x14ac:dyDescent="0.3">
      <c r="B1003" t="str">
        <f>"           if (PADDR_CNT == 7'd"&amp;A998&amp;")"</f>
        <v xml:space="preserve">           if (PADDR_CNT == 7'd88)</v>
      </c>
    </row>
    <row r="1004" spans="1:2" x14ac:dyDescent="0.3">
      <c r="B1004" t="str">
        <f>"               sr_paddr_dat["&amp;A998&amp;"]  &lt;= sr_page_paddr_buf;"</f>
        <v xml:space="preserve">               sr_paddr_dat[88]  &lt;= sr_page_paddr_buf;</v>
      </c>
    </row>
    <row r="1005" spans="1:2" x14ac:dyDescent="0.3">
      <c r="B1005" t="s">
        <v>3</v>
      </c>
    </row>
    <row r="1006" spans="1:2" x14ac:dyDescent="0.3">
      <c r="B1006" t="str">
        <f>"               sr_paddr_dat["&amp;A998&amp;"]  &lt;= sr_paddr_dat["&amp;A998&amp;"];"</f>
        <v xml:space="preserve">               sr_paddr_dat[88]  &lt;= sr_paddr_dat[88];</v>
      </c>
    </row>
    <row r="1007" spans="1:2" x14ac:dyDescent="0.3">
      <c r="B1007" t="s">
        <v>4</v>
      </c>
    </row>
    <row r="1008" spans="1:2" x14ac:dyDescent="0.3">
      <c r="B1008" t="s">
        <v>5</v>
      </c>
    </row>
    <row r="1010" spans="1:2" x14ac:dyDescent="0.3">
      <c r="A1010">
        <f>A998+1</f>
        <v>89</v>
      </c>
      <c r="B1010" t="str">
        <f>"    // Page Address Resister"&amp;A1010</f>
        <v xml:space="preserve">    // Page Address Resister89</v>
      </c>
    </row>
    <row r="1011" spans="1:2" x14ac:dyDescent="0.3">
      <c r="A1011" t="str">
        <f>DEC2HEX(A1010)</f>
        <v>59</v>
      </c>
      <c r="B1011" t="s">
        <v>0</v>
      </c>
    </row>
    <row r="1012" spans="1:2" x14ac:dyDescent="0.3">
      <c r="B1012" t="s">
        <v>1</v>
      </c>
    </row>
    <row r="1013" spans="1:2" x14ac:dyDescent="0.3">
      <c r="B1013" t="str">
        <f>"            sr_paddr_dat["&amp;A1010&amp;"]   &lt;= 24'h0;"</f>
        <v xml:space="preserve">            sr_paddr_dat[89]   &lt;= 24'h0;</v>
      </c>
    </row>
    <row r="1014" spans="1:2" x14ac:dyDescent="0.3">
      <c r="B1014" t="s">
        <v>2</v>
      </c>
    </row>
    <row r="1015" spans="1:2" x14ac:dyDescent="0.3">
      <c r="B1015" t="str">
        <f>"           if (PADDR_CNT == 7'd"&amp;A1010&amp;")"</f>
        <v xml:space="preserve">           if (PADDR_CNT == 7'd89)</v>
      </c>
    </row>
    <row r="1016" spans="1:2" x14ac:dyDescent="0.3">
      <c r="B1016" t="str">
        <f>"               sr_paddr_dat["&amp;A1010&amp;"]  &lt;= sr_page_paddr_buf;"</f>
        <v xml:space="preserve">               sr_paddr_dat[89]  &lt;= sr_page_paddr_buf;</v>
      </c>
    </row>
    <row r="1017" spans="1:2" x14ac:dyDescent="0.3">
      <c r="B1017" t="s">
        <v>3</v>
      </c>
    </row>
    <row r="1018" spans="1:2" x14ac:dyDescent="0.3">
      <c r="B1018" t="str">
        <f>"               sr_paddr_dat["&amp;A1010&amp;"]  &lt;= sr_paddr_dat["&amp;A1010&amp;"];"</f>
        <v xml:space="preserve">               sr_paddr_dat[89]  &lt;= sr_paddr_dat[89];</v>
      </c>
    </row>
    <row r="1019" spans="1:2" x14ac:dyDescent="0.3">
      <c r="B1019" t="s">
        <v>4</v>
      </c>
    </row>
    <row r="1020" spans="1:2" x14ac:dyDescent="0.3">
      <c r="B1020" t="s">
        <v>5</v>
      </c>
    </row>
    <row r="1022" spans="1:2" x14ac:dyDescent="0.3">
      <c r="A1022">
        <f>A1010+1</f>
        <v>90</v>
      </c>
      <c r="B1022" t="str">
        <f>"    // Page Address Resister"&amp;A1022</f>
        <v xml:space="preserve">    // Page Address Resister90</v>
      </c>
    </row>
    <row r="1023" spans="1:2" x14ac:dyDescent="0.3">
      <c r="A1023" t="str">
        <f>DEC2HEX(A1022)</f>
        <v>5A</v>
      </c>
      <c r="B1023" t="s">
        <v>0</v>
      </c>
    </row>
    <row r="1024" spans="1:2" x14ac:dyDescent="0.3">
      <c r="B1024" t="s">
        <v>1</v>
      </c>
    </row>
    <row r="1025" spans="1:2" x14ac:dyDescent="0.3">
      <c r="B1025" t="str">
        <f>"            sr_paddr_dat["&amp;A1022&amp;"]   &lt;= 24'h0;"</f>
        <v xml:space="preserve">            sr_paddr_dat[90]   &lt;= 24'h0;</v>
      </c>
    </row>
    <row r="1026" spans="1:2" x14ac:dyDescent="0.3">
      <c r="B1026" t="s">
        <v>2</v>
      </c>
    </row>
    <row r="1027" spans="1:2" x14ac:dyDescent="0.3">
      <c r="B1027" t="str">
        <f>"           if (PADDR_CNT == 7'd"&amp;A1022&amp;")"</f>
        <v xml:space="preserve">           if (PADDR_CNT == 7'd90)</v>
      </c>
    </row>
    <row r="1028" spans="1:2" x14ac:dyDescent="0.3">
      <c r="B1028" t="str">
        <f>"               sr_paddr_dat["&amp;A1022&amp;"]  &lt;= sr_page_paddr_buf;"</f>
        <v xml:space="preserve">               sr_paddr_dat[90]  &lt;= sr_page_paddr_buf;</v>
      </c>
    </row>
    <row r="1029" spans="1:2" x14ac:dyDescent="0.3">
      <c r="B1029" t="s">
        <v>3</v>
      </c>
    </row>
    <row r="1030" spans="1:2" x14ac:dyDescent="0.3">
      <c r="B1030" t="str">
        <f>"               sr_paddr_dat["&amp;A1022&amp;"]  &lt;= sr_paddr_dat["&amp;A1022&amp;"];"</f>
        <v xml:space="preserve">               sr_paddr_dat[90]  &lt;= sr_paddr_dat[90];</v>
      </c>
    </row>
    <row r="1031" spans="1:2" x14ac:dyDescent="0.3">
      <c r="B1031" t="s">
        <v>4</v>
      </c>
    </row>
    <row r="1032" spans="1:2" x14ac:dyDescent="0.3">
      <c r="B1032" t="s">
        <v>5</v>
      </c>
    </row>
    <row r="1034" spans="1:2" x14ac:dyDescent="0.3">
      <c r="A1034">
        <f>A1022+1</f>
        <v>91</v>
      </c>
      <c r="B1034" t="str">
        <f>"    // Page Address Resister"&amp;A1034</f>
        <v xml:space="preserve">    // Page Address Resister91</v>
      </c>
    </row>
    <row r="1035" spans="1:2" x14ac:dyDescent="0.3">
      <c r="A1035" t="str">
        <f>DEC2HEX(A1034)</f>
        <v>5B</v>
      </c>
      <c r="B1035" t="s">
        <v>0</v>
      </c>
    </row>
    <row r="1036" spans="1:2" x14ac:dyDescent="0.3">
      <c r="B1036" t="s">
        <v>1</v>
      </c>
    </row>
    <row r="1037" spans="1:2" x14ac:dyDescent="0.3">
      <c r="B1037" t="str">
        <f>"            sr_paddr_dat["&amp;A1034&amp;"]   &lt;= 24'h0;"</f>
        <v xml:space="preserve">            sr_paddr_dat[91]   &lt;= 24'h0;</v>
      </c>
    </row>
    <row r="1038" spans="1:2" x14ac:dyDescent="0.3">
      <c r="B1038" t="s">
        <v>2</v>
      </c>
    </row>
    <row r="1039" spans="1:2" x14ac:dyDescent="0.3">
      <c r="B1039" t="str">
        <f>"           if (PADDR_CNT == 7'd"&amp;A1034&amp;")"</f>
        <v xml:space="preserve">           if (PADDR_CNT == 7'd91)</v>
      </c>
    </row>
    <row r="1040" spans="1:2" x14ac:dyDescent="0.3">
      <c r="B1040" t="str">
        <f>"               sr_paddr_dat["&amp;A1034&amp;"]  &lt;= sr_page_paddr_buf;"</f>
        <v xml:space="preserve">               sr_paddr_dat[91]  &lt;= sr_page_paddr_buf;</v>
      </c>
    </row>
    <row r="1041" spans="1:2" x14ac:dyDescent="0.3">
      <c r="B1041" t="s">
        <v>3</v>
      </c>
    </row>
    <row r="1042" spans="1:2" x14ac:dyDescent="0.3">
      <c r="B1042" t="str">
        <f>"               sr_paddr_dat["&amp;A1034&amp;"]  &lt;= sr_paddr_dat["&amp;A1034&amp;"];"</f>
        <v xml:space="preserve">               sr_paddr_dat[91]  &lt;= sr_paddr_dat[91];</v>
      </c>
    </row>
    <row r="1043" spans="1:2" x14ac:dyDescent="0.3">
      <c r="B1043" t="s">
        <v>4</v>
      </c>
    </row>
    <row r="1044" spans="1:2" x14ac:dyDescent="0.3">
      <c r="B1044" t="s">
        <v>5</v>
      </c>
    </row>
    <row r="1046" spans="1:2" x14ac:dyDescent="0.3">
      <c r="A1046">
        <f>A1034+1</f>
        <v>92</v>
      </c>
      <c r="B1046" t="str">
        <f>"    // Page Address Resister"&amp;A1046</f>
        <v xml:space="preserve">    // Page Address Resister92</v>
      </c>
    </row>
    <row r="1047" spans="1:2" x14ac:dyDescent="0.3">
      <c r="A1047" t="str">
        <f>DEC2HEX(A1046)</f>
        <v>5C</v>
      </c>
      <c r="B1047" t="s">
        <v>0</v>
      </c>
    </row>
    <row r="1048" spans="1:2" x14ac:dyDescent="0.3">
      <c r="B1048" t="s">
        <v>1</v>
      </c>
    </row>
    <row r="1049" spans="1:2" x14ac:dyDescent="0.3">
      <c r="B1049" t="str">
        <f>"            sr_paddr_dat["&amp;A1046&amp;"]   &lt;= 24'h0;"</f>
        <v xml:space="preserve">            sr_paddr_dat[92]   &lt;= 24'h0;</v>
      </c>
    </row>
    <row r="1050" spans="1:2" x14ac:dyDescent="0.3">
      <c r="B1050" t="s">
        <v>2</v>
      </c>
    </row>
    <row r="1051" spans="1:2" x14ac:dyDescent="0.3">
      <c r="B1051" t="str">
        <f>"           if (PADDR_CNT == 7'd"&amp;A1046&amp;")"</f>
        <v xml:space="preserve">           if (PADDR_CNT == 7'd92)</v>
      </c>
    </row>
    <row r="1052" spans="1:2" x14ac:dyDescent="0.3">
      <c r="B1052" t="str">
        <f>"               sr_paddr_dat["&amp;A1046&amp;"]  &lt;= sr_page_paddr_buf;"</f>
        <v xml:space="preserve">               sr_paddr_dat[92]  &lt;= sr_page_paddr_buf;</v>
      </c>
    </row>
    <row r="1053" spans="1:2" x14ac:dyDescent="0.3">
      <c r="B1053" t="s">
        <v>3</v>
      </c>
    </row>
    <row r="1054" spans="1:2" x14ac:dyDescent="0.3">
      <c r="B1054" t="str">
        <f>"               sr_paddr_dat["&amp;A1046&amp;"]  &lt;= sr_paddr_dat["&amp;A1046&amp;"];"</f>
        <v xml:space="preserve">               sr_paddr_dat[92]  &lt;= sr_paddr_dat[92];</v>
      </c>
    </row>
    <row r="1055" spans="1:2" x14ac:dyDescent="0.3">
      <c r="B1055" t="s">
        <v>4</v>
      </c>
    </row>
    <row r="1056" spans="1:2" x14ac:dyDescent="0.3">
      <c r="B1056" t="s">
        <v>5</v>
      </c>
    </row>
    <row r="1058" spans="1:2" x14ac:dyDescent="0.3">
      <c r="A1058">
        <f>A1046+1</f>
        <v>93</v>
      </c>
      <c r="B1058" t="str">
        <f>"    // Page Address Resister"&amp;A1058</f>
        <v xml:space="preserve">    // Page Address Resister93</v>
      </c>
    </row>
    <row r="1059" spans="1:2" x14ac:dyDescent="0.3">
      <c r="A1059" t="str">
        <f>DEC2HEX(A1058)</f>
        <v>5D</v>
      </c>
      <c r="B1059" t="s">
        <v>0</v>
      </c>
    </row>
    <row r="1060" spans="1:2" x14ac:dyDescent="0.3">
      <c r="B1060" t="s">
        <v>1</v>
      </c>
    </row>
    <row r="1061" spans="1:2" x14ac:dyDescent="0.3">
      <c r="B1061" t="str">
        <f>"            sr_paddr_dat["&amp;A1058&amp;"]   &lt;= 24'h0;"</f>
        <v xml:space="preserve">            sr_paddr_dat[93]   &lt;= 24'h0;</v>
      </c>
    </row>
    <row r="1062" spans="1:2" x14ac:dyDescent="0.3">
      <c r="B1062" t="s">
        <v>2</v>
      </c>
    </row>
    <row r="1063" spans="1:2" x14ac:dyDescent="0.3">
      <c r="B1063" t="str">
        <f>"           if (PADDR_CNT == 7'd"&amp;A1058&amp;")"</f>
        <v xml:space="preserve">           if (PADDR_CNT == 7'd93)</v>
      </c>
    </row>
    <row r="1064" spans="1:2" x14ac:dyDescent="0.3">
      <c r="B1064" t="str">
        <f>"               sr_paddr_dat["&amp;A1058&amp;"]  &lt;= sr_page_paddr_buf;"</f>
        <v xml:space="preserve">               sr_paddr_dat[93]  &lt;= sr_page_paddr_buf;</v>
      </c>
    </row>
    <row r="1065" spans="1:2" x14ac:dyDescent="0.3">
      <c r="B1065" t="s">
        <v>3</v>
      </c>
    </row>
    <row r="1066" spans="1:2" x14ac:dyDescent="0.3">
      <c r="B1066" t="str">
        <f>"               sr_paddr_dat["&amp;A1058&amp;"]  &lt;= sr_paddr_dat["&amp;A1058&amp;"];"</f>
        <v xml:space="preserve">               sr_paddr_dat[93]  &lt;= sr_paddr_dat[93];</v>
      </c>
    </row>
    <row r="1067" spans="1:2" x14ac:dyDescent="0.3">
      <c r="B1067" t="s">
        <v>4</v>
      </c>
    </row>
    <row r="1068" spans="1:2" x14ac:dyDescent="0.3">
      <c r="B1068" t="s">
        <v>5</v>
      </c>
    </row>
    <row r="1070" spans="1:2" x14ac:dyDescent="0.3">
      <c r="A1070">
        <f>A1058+1</f>
        <v>94</v>
      </c>
      <c r="B1070" t="str">
        <f>"    // Page Address Resister"&amp;A1070</f>
        <v xml:space="preserve">    // Page Address Resister94</v>
      </c>
    </row>
    <row r="1071" spans="1:2" x14ac:dyDescent="0.3">
      <c r="A1071" t="str">
        <f>DEC2HEX(A1070)</f>
        <v>5E</v>
      </c>
      <c r="B1071" t="s">
        <v>0</v>
      </c>
    </row>
    <row r="1072" spans="1:2" x14ac:dyDescent="0.3">
      <c r="B1072" t="s">
        <v>1</v>
      </c>
    </row>
    <row r="1073" spans="1:2" x14ac:dyDescent="0.3">
      <c r="B1073" t="str">
        <f>"            sr_paddr_dat["&amp;A1070&amp;"]   &lt;= 24'h0;"</f>
        <v xml:space="preserve">            sr_paddr_dat[94]   &lt;= 24'h0;</v>
      </c>
    </row>
    <row r="1074" spans="1:2" x14ac:dyDescent="0.3">
      <c r="B1074" t="s">
        <v>2</v>
      </c>
    </row>
    <row r="1075" spans="1:2" x14ac:dyDescent="0.3">
      <c r="B1075" t="str">
        <f>"           if (PADDR_CNT == 7'd"&amp;A1070&amp;")"</f>
        <v xml:space="preserve">           if (PADDR_CNT == 7'd94)</v>
      </c>
    </row>
    <row r="1076" spans="1:2" x14ac:dyDescent="0.3">
      <c r="B1076" t="str">
        <f>"               sr_paddr_dat["&amp;A1070&amp;"]  &lt;= sr_page_paddr_buf;"</f>
        <v xml:space="preserve">               sr_paddr_dat[94]  &lt;= sr_page_paddr_buf;</v>
      </c>
    </row>
    <row r="1077" spans="1:2" x14ac:dyDescent="0.3">
      <c r="B1077" t="s">
        <v>3</v>
      </c>
    </row>
    <row r="1078" spans="1:2" x14ac:dyDescent="0.3">
      <c r="B1078" t="str">
        <f>"               sr_paddr_dat["&amp;A1070&amp;"]  &lt;= sr_paddr_dat["&amp;A1070&amp;"];"</f>
        <v xml:space="preserve">               sr_paddr_dat[94]  &lt;= sr_paddr_dat[94];</v>
      </c>
    </row>
    <row r="1079" spans="1:2" x14ac:dyDescent="0.3">
      <c r="B1079" t="s">
        <v>4</v>
      </c>
    </row>
    <row r="1080" spans="1:2" x14ac:dyDescent="0.3">
      <c r="B1080" t="s">
        <v>5</v>
      </c>
    </row>
    <row r="1082" spans="1:2" x14ac:dyDescent="0.3">
      <c r="A1082">
        <f>A1070+1</f>
        <v>95</v>
      </c>
      <c r="B1082" t="str">
        <f>"    // Page Address Resister"&amp;A1082</f>
        <v xml:space="preserve">    // Page Address Resister95</v>
      </c>
    </row>
    <row r="1083" spans="1:2" x14ac:dyDescent="0.3">
      <c r="A1083" t="str">
        <f>DEC2HEX(A1082)</f>
        <v>5F</v>
      </c>
      <c r="B1083" t="s">
        <v>0</v>
      </c>
    </row>
    <row r="1084" spans="1:2" x14ac:dyDescent="0.3">
      <c r="B1084" t="s">
        <v>1</v>
      </c>
    </row>
    <row r="1085" spans="1:2" x14ac:dyDescent="0.3">
      <c r="B1085" t="str">
        <f>"            sr_paddr_dat["&amp;A1082&amp;"]   &lt;= 24'h0;"</f>
        <v xml:space="preserve">            sr_paddr_dat[95]   &lt;= 24'h0;</v>
      </c>
    </row>
    <row r="1086" spans="1:2" x14ac:dyDescent="0.3">
      <c r="B1086" t="s">
        <v>2</v>
      </c>
    </row>
    <row r="1087" spans="1:2" x14ac:dyDescent="0.3">
      <c r="B1087" t="str">
        <f>"           if (PADDR_CNT == 7'd"&amp;A1082&amp;")"</f>
        <v xml:space="preserve">           if (PADDR_CNT == 7'd95)</v>
      </c>
    </row>
    <row r="1088" spans="1:2" x14ac:dyDescent="0.3">
      <c r="B1088" t="str">
        <f>"               sr_paddr_dat["&amp;A1082&amp;"]  &lt;= sr_page_paddr_buf;"</f>
        <v xml:space="preserve">               sr_paddr_dat[95]  &lt;= sr_page_paddr_buf;</v>
      </c>
    </row>
    <row r="1089" spans="1:2" x14ac:dyDescent="0.3">
      <c r="B1089" t="s">
        <v>3</v>
      </c>
    </row>
    <row r="1090" spans="1:2" x14ac:dyDescent="0.3">
      <c r="B1090" t="str">
        <f>"               sr_paddr_dat["&amp;A1082&amp;"]  &lt;= sr_paddr_dat["&amp;A1082&amp;"];"</f>
        <v xml:space="preserve">               sr_paddr_dat[95]  &lt;= sr_paddr_dat[95];</v>
      </c>
    </row>
    <row r="1091" spans="1:2" x14ac:dyDescent="0.3">
      <c r="B1091" t="s">
        <v>4</v>
      </c>
    </row>
    <row r="1092" spans="1:2" x14ac:dyDescent="0.3">
      <c r="B1092" t="s">
        <v>5</v>
      </c>
    </row>
    <row r="1094" spans="1:2" x14ac:dyDescent="0.3">
      <c r="A1094">
        <f>A1082+1</f>
        <v>96</v>
      </c>
      <c r="B1094" t="str">
        <f>"    // Page Address Resister"&amp;A1094</f>
        <v xml:space="preserve">    // Page Address Resister96</v>
      </c>
    </row>
    <row r="1095" spans="1:2" x14ac:dyDescent="0.3">
      <c r="A1095" t="str">
        <f>DEC2HEX(A1094)</f>
        <v>60</v>
      </c>
      <c r="B1095" t="s">
        <v>0</v>
      </c>
    </row>
    <row r="1096" spans="1:2" x14ac:dyDescent="0.3">
      <c r="B1096" t="s">
        <v>1</v>
      </c>
    </row>
    <row r="1097" spans="1:2" x14ac:dyDescent="0.3">
      <c r="B1097" t="str">
        <f>"            sr_paddr_dat["&amp;A1094&amp;"]   &lt;= 24'h0;"</f>
        <v xml:space="preserve">            sr_paddr_dat[96]   &lt;= 24'h0;</v>
      </c>
    </row>
    <row r="1098" spans="1:2" x14ac:dyDescent="0.3">
      <c r="B1098" t="s">
        <v>2</v>
      </c>
    </row>
    <row r="1099" spans="1:2" x14ac:dyDescent="0.3">
      <c r="B1099" t="str">
        <f>"           if (PADDR_CNT == 7'd"&amp;A1094&amp;")"</f>
        <v xml:space="preserve">           if (PADDR_CNT == 7'd96)</v>
      </c>
    </row>
    <row r="1100" spans="1:2" x14ac:dyDescent="0.3">
      <c r="B1100" t="str">
        <f>"               sr_paddr_dat["&amp;A1094&amp;"]  &lt;= sr_page_paddr_buf;"</f>
        <v xml:space="preserve">               sr_paddr_dat[96]  &lt;= sr_page_paddr_buf;</v>
      </c>
    </row>
    <row r="1101" spans="1:2" x14ac:dyDescent="0.3">
      <c r="B1101" t="s">
        <v>3</v>
      </c>
    </row>
    <row r="1102" spans="1:2" x14ac:dyDescent="0.3">
      <c r="B1102" t="str">
        <f>"               sr_paddr_dat["&amp;A1094&amp;"]  &lt;= sr_paddr_dat["&amp;A1094&amp;"];"</f>
        <v xml:space="preserve">               sr_paddr_dat[96]  &lt;= sr_paddr_dat[96];</v>
      </c>
    </row>
    <row r="1103" spans="1:2" x14ac:dyDescent="0.3">
      <c r="B1103" t="s">
        <v>4</v>
      </c>
    </row>
    <row r="1104" spans="1:2" x14ac:dyDescent="0.3">
      <c r="B1104" t="s">
        <v>5</v>
      </c>
    </row>
    <row r="1106" spans="1:2" x14ac:dyDescent="0.3">
      <c r="A1106">
        <f>A1094+1</f>
        <v>97</v>
      </c>
      <c r="B1106" t="str">
        <f>"    // Page Address Resister"&amp;A1106</f>
        <v xml:space="preserve">    // Page Address Resister97</v>
      </c>
    </row>
    <row r="1107" spans="1:2" x14ac:dyDescent="0.3">
      <c r="A1107" t="str">
        <f>DEC2HEX(A1106)</f>
        <v>61</v>
      </c>
      <c r="B1107" t="s">
        <v>0</v>
      </c>
    </row>
    <row r="1108" spans="1:2" x14ac:dyDescent="0.3">
      <c r="B1108" t="s">
        <v>1</v>
      </c>
    </row>
    <row r="1109" spans="1:2" x14ac:dyDescent="0.3">
      <c r="B1109" t="str">
        <f>"            sr_paddr_dat["&amp;A1106&amp;"]   &lt;= 24'h0;"</f>
        <v xml:space="preserve">            sr_paddr_dat[97]   &lt;= 24'h0;</v>
      </c>
    </row>
    <row r="1110" spans="1:2" x14ac:dyDescent="0.3">
      <c r="B1110" t="s">
        <v>2</v>
      </c>
    </row>
    <row r="1111" spans="1:2" x14ac:dyDescent="0.3">
      <c r="B1111" t="str">
        <f>"           if (PADDR_CNT == 7'd"&amp;A1106&amp;")"</f>
        <v xml:space="preserve">           if (PADDR_CNT == 7'd97)</v>
      </c>
    </row>
    <row r="1112" spans="1:2" x14ac:dyDescent="0.3">
      <c r="B1112" t="str">
        <f>"               sr_paddr_dat["&amp;A1106&amp;"]  &lt;= sr_page_paddr_buf;"</f>
        <v xml:space="preserve">               sr_paddr_dat[97]  &lt;= sr_page_paddr_buf;</v>
      </c>
    </row>
    <row r="1113" spans="1:2" x14ac:dyDescent="0.3">
      <c r="B1113" t="s">
        <v>3</v>
      </c>
    </row>
    <row r="1114" spans="1:2" x14ac:dyDescent="0.3">
      <c r="B1114" t="str">
        <f>"               sr_paddr_dat["&amp;A1106&amp;"]  &lt;= sr_paddr_dat["&amp;A1106&amp;"];"</f>
        <v xml:space="preserve">               sr_paddr_dat[97]  &lt;= sr_paddr_dat[97];</v>
      </c>
    </row>
    <row r="1115" spans="1:2" x14ac:dyDescent="0.3">
      <c r="B1115" t="s">
        <v>4</v>
      </c>
    </row>
    <row r="1116" spans="1:2" x14ac:dyDescent="0.3">
      <c r="B1116" t="s">
        <v>5</v>
      </c>
    </row>
    <row r="1118" spans="1:2" x14ac:dyDescent="0.3">
      <c r="A1118">
        <f>A1106+1</f>
        <v>98</v>
      </c>
      <c r="B1118" t="str">
        <f>"    // Page Address Resister"&amp;A1118</f>
        <v xml:space="preserve">    // Page Address Resister98</v>
      </c>
    </row>
    <row r="1119" spans="1:2" x14ac:dyDescent="0.3">
      <c r="A1119" t="str">
        <f>DEC2HEX(A1118)</f>
        <v>62</v>
      </c>
      <c r="B1119" t="s">
        <v>0</v>
      </c>
    </row>
    <row r="1120" spans="1:2" x14ac:dyDescent="0.3">
      <c r="B1120" t="s">
        <v>1</v>
      </c>
    </row>
    <row r="1121" spans="1:2" x14ac:dyDescent="0.3">
      <c r="B1121" t="str">
        <f>"            sr_paddr_dat["&amp;A1118&amp;"]   &lt;= 24'h0;"</f>
        <v xml:space="preserve">            sr_paddr_dat[98]   &lt;= 24'h0;</v>
      </c>
    </row>
    <row r="1122" spans="1:2" x14ac:dyDescent="0.3">
      <c r="B1122" t="s">
        <v>2</v>
      </c>
    </row>
    <row r="1123" spans="1:2" x14ac:dyDescent="0.3">
      <c r="B1123" t="str">
        <f>"           if (PADDR_CNT == 7'd"&amp;A1118&amp;")"</f>
        <v xml:space="preserve">           if (PADDR_CNT == 7'd98)</v>
      </c>
    </row>
    <row r="1124" spans="1:2" x14ac:dyDescent="0.3">
      <c r="B1124" t="str">
        <f>"               sr_paddr_dat["&amp;A1118&amp;"]  &lt;= sr_page_paddr_buf;"</f>
        <v xml:space="preserve">               sr_paddr_dat[98]  &lt;= sr_page_paddr_buf;</v>
      </c>
    </row>
    <row r="1125" spans="1:2" x14ac:dyDescent="0.3">
      <c r="B1125" t="s">
        <v>3</v>
      </c>
    </row>
    <row r="1126" spans="1:2" x14ac:dyDescent="0.3">
      <c r="B1126" t="str">
        <f>"               sr_paddr_dat["&amp;A1118&amp;"]  &lt;= sr_paddr_dat["&amp;A1118&amp;"];"</f>
        <v xml:space="preserve">               sr_paddr_dat[98]  &lt;= sr_paddr_dat[98];</v>
      </c>
    </row>
    <row r="1127" spans="1:2" x14ac:dyDescent="0.3">
      <c r="B1127" t="s">
        <v>4</v>
      </c>
    </row>
    <row r="1128" spans="1:2" x14ac:dyDescent="0.3">
      <c r="B1128" t="s">
        <v>5</v>
      </c>
    </row>
    <row r="1130" spans="1:2" x14ac:dyDescent="0.3">
      <c r="A1130">
        <f>A1118+1</f>
        <v>99</v>
      </c>
      <c r="B1130" t="str">
        <f>"    // Page Address Resister"&amp;A1130</f>
        <v xml:space="preserve">    // Page Address Resister99</v>
      </c>
    </row>
    <row r="1131" spans="1:2" x14ac:dyDescent="0.3">
      <c r="A1131" t="str">
        <f>DEC2HEX(A1130)</f>
        <v>63</v>
      </c>
      <c r="B1131" t="s">
        <v>0</v>
      </c>
    </row>
    <row r="1132" spans="1:2" x14ac:dyDescent="0.3">
      <c r="B1132" t="s">
        <v>1</v>
      </c>
    </row>
    <row r="1133" spans="1:2" x14ac:dyDescent="0.3">
      <c r="B1133" t="str">
        <f>"            sr_paddr_dat["&amp;A1130&amp;"]   &lt;= 24'h0;"</f>
        <v xml:space="preserve">            sr_paddr_dat[99]   &lt;= 24'h0;</v>
      </c>
    </row>
    <row r="1134" spans="1:2" x14ac:dyDescent="0.3">
      <c r="B1134" t="s">
        <v>2</v>
      </c>
    </row>
    <row r="1135" spans="1:2" x14ac:dyDescent="0.3">
      <c r="B1135" t="str">
        <f>"           if (PADDR_CNT == 7'd"&amp;A1130&amp;")"</f>
        <v xml:space="preserve">           if (PADDR_CNT == 7'd99)</v>
      </c>
    </row>
    <row r="1136" spans="1:2" x14ac:dyDescent="0.3">
      <c r="B1136" t="str">
        <f>"               sr_paddr_dat["&amp;A1130&amp;"]  &lt;= sr_page_paddr_buf;"</f>
        <v xml:space="preserve">               sr_paddr_dat[99]  &lt;= sr_page_paddr_buf;</v>
      </c>
    </row>
    <row r="1137" spans="1:2" x14ac:dyDescent="0.3">
      <c r="B1137" t="s">
        <v>3</v>
      </c>
    </row>
    <row r="1138" spans="1:2" x14ac:dyDescent="0.3">
      <c r="B1138" t="str">
        <f>"               sr_paddr_dat["&amp;A1130&amp;"]  &lt;= sr_paddr_dat["&amp;A1130&amp;"];"</f>
        <v xml:space="preserve">               sr_paddr_dat[99]  &lt;= sr_paddr_dat[99];</v>
      </c>
    </row>
    <row r="1139" spans="1:2" x14ac:dyDescent="0.3">
      <c r="B1139" t="s">
        <v>4</v>
      </c>
    </row>
    <row r="1140" spans="1:2" x14ac:dyDescent="0.3">
      <c r="B1140" t="s">
        <v>5</v>
      </c>
    </row>
    <row r="1142" spans="1:2" x14ac:dyDescent="0.3">
      <c r="A1142">
        <f>A1130+1</f>
        <v>100</v>
      </c>
      <c r="B1142" t="str">
        <f>"    // Page Address Resister"&amp;A1142</f>
        <v xml:space="preserve">    // Page Address Resister100</v>
      </c>
    </row>
    <row r="1143" spans="1:2" x14ac:dyDescent="0.3">
      <c r="A1143" t="str">
        <f>DEC2HEX(A1142)</f>
        <v>64</v>
      </c>
      <c r="B1143" t="s">
        <v>0</v>
      </c>
    </row>
    <row r="1144" spans="1:2" x14ac:dyDescent="0.3">
      <c r="B1144" t="s">
        <v>1</v>
      </c>
    </row>
    <row r="1145" spans="1:2" x14ac:dyDescent="0.3">
      <c r="B1145" t="str">
        <f>"            sr_paddr_dat["&amp;A1142&amp;"]   &lt;= 24'h0;"</f>
        <v xml:space="preserve">            sr_paddr_dat[100]   &lt;= 24'h0;</v>
      </c>
    </row>
    <row r="1146" spans="1:2" x14ac:dyDescent="0.3">
      <c r="B1146" t="s">
        <v>2</v>
      </c>
    </row>
    <row r="1147" spans="1:2" x14ac:dyDescent="0.3">
      <c r="B1147" t="str">
        <f>"           if (PADDR_CNT == 7'd"&amp;A1142&amp;")"</f>
        <v xml:space="preserve">           if (PADDR_CNT == 7'd100)</v>
      </c>
    </row>
    <row r="1148" spans="1:2" x14ac:dyDescent="0.3">
      <c r="B1148" t="str">
        <f>"               sr_paddr_dat["&amp;A1142&amp;"]  &lt;= sr_page_paddr_buf;"</f>
        <v xml:space="preserve">               sr_paddr_dat[100]  &lt;= sr_page_paddr_buf;</v>
      </c>
    </row>
    <row r="1149" spans="1:2" x14ac:dyDescent="0.3">
      <c r="B1149" t="s">
        <v>3</v>
      </c>
    </row>
    <row r="1150" spans="1:2" x14ac:dyDescent="0.3">
      <c r="B1150" t="str">
        <f>"               sr_paddr_dat["&amp;A1142&amp;"]  &lt;= sr_paddr_dat["&amp;A1142&amp;"];"</f>
        <v xml:space="preserve">               sr_paddr_dat[100]  &lt;= sr_paddr_dat[100];</v>
      </c>
    </row>
    <row r="1151" spans="1:2" x14ac:dyDescent="0.3">
      <c r="B1151" t="s">
        <v>4</v>
      </c>
    </row>
    <row r="1152" spans="1:2" x14ac:dyDescent="0.3">
      <c r="B1152" t="s">
        <v>5</v>
      </c>
    </row>
    <row r="1154" spans="1:2" x14ac:dyDescent="0.3">
      <c r="A1154">
        <f>A1142+1</f>
        <v>101</v>
      </c>
      <c r="B1154" t="str">
        <f>"    // Page Address Resister"&amp;A1154</f>
        <v xml:space="preserve">    // Page Address Resister101</v>
      </c>
    </row>
    <row r="1155" spans="1:2" x14ac:dyDescent="0.3">
      <c r="A1155" t="str">
        <f>DEC2HEX(A1154)</f>
        <v>65</v>
      </c>
      <c r="B1155" t="s">
        <v>0</v>
      </c>
    </row>
    <row r="1156" spans="1:2" x14ac:dyDescent="0.3">
      <c r="B1156" t="s">
        <v>1</v>
      </c>
    </row>
    <row r="1157" spans="1:2" x14ac:dyDescent="0.3">
      <c r="B1157" t="str">
        <f>"            sr_paddr_dat["&amp;A1154&amp;"]   &lt;= 24'h0;"</f>
        <v xml:space="preserve">            sr_paddr_dat[101]   &lt;= 24'h0;</v>
      </c>
    </row>
    <row r="1158" spans="1:2" x14ac:dyDescent="0.3">
      <c r="B1158" t="s">
        <v>2</v>
      </c>
    </row>
    <row r="1159" spans="1:2" x14ac:dyDescent="0.3">
      <c r="B1159" t="str">
        <f>"           if (PADDR_CNT == 7'd"&amp;A1154&amp;")"</f>
        <v xml:space="preserve">           if (PADDR_CNT == 7'd101)</v>
      </c>
    </row>
    <row r="1160" spans="1:2" x14ac:dyDescent="0.3">
      <c r="B1160" t="str">
        <f>"               sr_paddr_dat["&amp;A1154&amp;"]  &lt;= sr_page_paddr_buf;"</f>
        <v xml:space="preserve">               sr_paddr_dat[101]  &lt;= sr_page_paddr_buf;</v>
      </c>
    </row>
    <row r="1161" spans="1:2" x14ac:dyDescent="0.3">
      <c r="B1161" t="s">
        <v>3</v>
      </c>
    </row>
    <row r="1162" spans="1:2" x14ac:dyDescent="0.3">
      <c r="B1162" t="str">
        <f>"               sr_paddr_dat["&amp;A1154&amp;"]  &lt;= sr_paddr_dat["&amp;A1154&amp;"];"</f>
        <v xml:space="preserve">               sr_paddr_dat[101]  &lt;= sr_paddr_dat[101];</v>
      </c>
    </row>
    <row r="1163" spans="1:2" x14ac:dyDescent="0.3">
      <c r="B1163" t="s">
        <v>4</v>
      </c>
    </row>
    <row r="1164" spans="1:2" x14ac:dyDescent="0.3">
      <c r="B1164" t="s">
        <v>5</v>
      </c>
    </row>
    <row r="1166" spans="1:2" x14ac:dyDescent="0.3">
      <c r="A1166">
        <f>A1154+1</f>
        <v>102</v>
      </c>
      <c r="B1166" t="str">
        <f>"    // Page Address Resister"&amp;A1166</f>
        <v xml:space="preserve">    // Page Address Resister102</v>
      </c>
    </row>
    <row r="1167" spans="1:2" x14ac:dyDescent="0.3">
      <c r="A1167" t="str">
        <f>DEC2HEX(A1166)</f>
        <v>66</v>
      </c>
      <c r="B1167" t="s">
        <v>0</v>
      </c>
    </row>
    <row r="1168" spans="1:2" x14ac:dyDescent="0.3">
      <c r="B1168" t="s">
        <v>1</v>
      </c>
    </row>
    <row r="1169" spans="1:2" x14ac:dyDescent="0.3">
      <c r="B1169" t="str">
        <f>"            sr_paddr_dat["&amp;A1166&amp;"]   &lt;= 24'h0;"</f>
        <v xml:space="preserve">            sr_paddr_dat[102]   &lt;= 24'h0;</v>
      </c>
    </row>
    <row r="1170" spans="1:2" x14ac:dyDescent="0.3">
      <c r="B1170" t="s">
        <v>2</v>
      </c>
    </row>
    <row r="1171" spans="1:2" x14ac:dyDescent="0.3">
      <c r="B1171" t="str">
        <f>"           if (PADDR_CNT == 7'd"&amp;A1166&amp;")"</f>
        <v xml:space="preserve">           if (PADDR_CNT == 7'd102)</v>
      </c>
    </row>
    <row r="1172" spans="1:2" x14ac:dyDescent="0.3">
      <c r="B1172" t="str">
        <f>"               sr_paddr_dat["&amp;A1166&amp;"]  &lt;= sr_page_paddr_buf;"</f>
        <v xml:space="preserve">               sr_paddr_dat[102]  &lt;= sr_page_paddr_buf;</v>
      </c>
    </row>
    <row r="1173" spans="1:2" x14ac:dyDescent="0.3">
      <c r="B1173" t="s">
        <v>3</v>
      </c>
    </row>
    <row r="1174" spans="1:2" x14ac:dyDescent="0.3">
      <c r="B1174" t="str">
        <f>"               sr_paddr_dat["&amp;A1166&amp;"]  &lt;= sr_paddr_dat["&amp;A1166&amp;"];"</f>
        <v xml:space="preserve">               sr_paddr_dat[102]  &lt;= sr_paddr_dat[102];</v>
      </c>
    </row>
    <row r="1175" spans="1:2" x14ac:dyDescent="0.3">
      <c r="B1175" t="s">
        <v>4</v>
      </c>
    </row>
    <row r="1176" spans="1:2" x14ac:dyDescent="0.3">
      <c r="B1176" t="s">
        <v>5</v>
      </c>
    </row>
    <row r="1178" spans="1:2" x14ac:dyDescent="0.3">
      <c r="A1178">
        <f>A1166+1</f>
        <v>103</v>
      </c>
      <c r="B1178" t="str">
        <f>"    // Page Address Resister"&amp;A1178</f>
        <v xml:space="preserve">    // Page Address Resister103</v>
      </c>
    </row>
    <row r="1179" spans="1:2" x14ac:dyDescent="0.3">
      <c r="A1179" t="str">
        <f>DEC2HEX(A1178)</f>
        <v>67</v>
      </c>
      <c r="B1179" t="s">
        <v>0</v>
      </c>
    </row>
    <row r="1180" spans="1:2" x14ac:dyDescent="0.3">
      <c r="B1180" t="s">
        <v>1</v>
      </c>
    </row>
    <row r="1181" spans="1:2" x14ac:dyDescent="0.3">
      <c r="B1181" t="str">
        <f>"            sr_paddr_dat["&amp;A1178&amp;"]   &lt;= 24'h0;"</f>
        <v xml:space="preserve">            sr_paddr_dat[103]   &lt;= 24'h0;</v>
      </c>
    </row>
    <row r="1182" spans="1:2" x14ac:dyDescent="0.3">
      <c r="B1182" t="s">
        <v>2</v>
      </c>
    </row>
    <row r="1183" spans="1:2" x14ac:dyDescent="0.3">
      <c r="B1183" t="str">
        <f>"           if (PADDR_CNT == 7'd"&amp;A1178&amp;")"</f>
        <v xml:space="preserve">           if (PADDR_CNT == 7'd103)</v>
      </c>
    </row>
    <row r="1184" spans="1:2" x14ac:dyDescent="0.3">
      <c r="B1184" t="str">
        <f>"               sr_paddr_dat["&amp;A1178&amp;"]  &lt;= sr_page_paddr_buf;"</f>
        <v xml:space="preserve">               sr_paddr_dat[103]  &lt;= sr_page_paddr_buf;</v>
      </c>
    </row>
    <row r="1185" spans="1:2" x14ac:dyDescent="0.3">
      <c r="B1185" t="s">
        <v>3</v>
      </c>
    </row>
    <row r="1186" spans="1:2" x14ac:dyDescent="0.3">
      <c r="B1186" t="str">
        <f>"               sr_paddr_dat["&amp;A1178&amp;"]  &lt;= sr_paddr_dat["&amp;A1178&amp;"];"</f>
        <v xml:space="preserve">               sr_paddr_dat[103]  &lt;= sr_paddr_dat[103];</v>
      </c>
    </row>
    <row r="1187" spans="1:2" x14ac:dyDescent="0.3">
      <c r="B1187" t="s">
        <v>4</v>
      </c>
    </row>
    <row r="1188" spans="1:2" x14ac:dyDescent="0.3">
      <c r="B1188" t="s">
        <v>5</v>
      </c>
    </row>
    <row r="1190" spans="1:2" x14ac:dyDescent="0.3">
      <c r="A1190">
        <f>A1178+1</f>
        <v>104</v>
      </c>
      <c r="B1190" t="str">
        <f>"    // Page Address Resister"&amp;A1190</f>
        <v xml:space="preserve">    // Page Address Resister104</v>
      </c>
    </row>
    <row r="1191" spans="1:2" x14ac:dyDescent="0.3">
      <c r="A1191" t="str">
        <f>DEC2HEX(A1190)</f>
        <v>68</v>
      </c>
      <c r="B1191" t="s">
        <v>0</v>
      </c>
    </row>
    <row r="1192" spans="1:2" x14ac:dyDescent="0.3">
      <c r="B1192" t="s">
        <v>1</v>
      </c>
    </row>
    <row r="1193" spans="1:2" x14ac:dyDescent="0.3">
      <c r="B1193" t="str">
        <f>"            sr_paddr_dat["&amp;A1190&amp;"]   &lt;= 24'h0;"</f>
        <v xml:space="preserve">            sr_paddr_dat[104]   &lt;= 24'h0;</v>
      </c>
    </row>
    <row r="1194" spans="1:2" x14ac:dyDescent="0.3">
      <c r="B1194" t="s">
        <v>2</v>
      </c>
    </row>
    <row r="1195" spans="1:2" x14ac:dyDescent="0.3">
      <c r="B1195" t="str">
        <f>"           if (PADDR_CNT == 7'd"&amp;A1190&amp;")"</f>
        <v xml:space="preserve">           if (PADDR_CNT == 7'd104)</v>
      </c>
    </row>
    <row r="1196" spans="1:2" x14ac:dyDescent="0.3">
      <c r="B1196" t="str">
        <f>"               sr_paddr_dat["&amp;A1190&amp;"]  &lt;= sr_page_paddr_buf;"</f>
        <v xml:space="preserve">               sr_paddr_dat[104]  &lt;= sr_page_paddr_buf;</v>
      </c>
    </row>
    <row r="1197" spans="1:2" x14ac:dyDescent="0.3">
      <c r="B1197" t="s">
        <v>3</v>
      </c>
    </row>
    <row r="1198" spans="1:2" x14ac:dyDescent="0.3">
      <c r="B1198" t="str">
        <f>"               sr_paddr_dat["&amp;A1190&amp;"]  &lt;= sr_paddr_dat["&amp;A1190&amp;"];"</f>
        <v xml:space="preserve">               sr_paddr_dat[104]  &lt;= sr_paddr_dat[104];</v>
      </c>
    </row>
    <row r="1199" spans="1:2" x14ac:dyDescent="0.3">
      <c r="B1199" t="s">
        <v>4</v>
      </c>
    </row>
    <row r="1200" spans="1:2" x14ac:dyDescent="0.3">
      <c r="B1200" t="s">
        <v>5</v>
      </c>
    </row>
    <row r="1202" spans="1:2" x14ac:dyDescent="0.3">
      <c r="A1202">
        <f>A1190+1</f>
        <v>105</v>
      </c>
      <c r="B1202" t="str">
        <f>"    // Page Address Resister"&amp;A1202</f>
        <v xml:space="preserve">    // Page Address Resister105</v>
      </c>
    </row>
    <row r="1203" spans="1:2" x14ac:dyDescent="0.3">
      <c r="A1203" t="str">
        <f>DEC2HEX(A1202)</f>
        <v>69</v>
      </c>
      <c r="B1203" t="s">
        <v>0</v>
      </c>
    </row>
    <row r="1204" spans="1:2" x14ac:dyDescent="0.3">
      <c r="B1204" t="s">
        <v>1</v>
      </c>
    </row>
    <row r="1205" spans="1:2" x14ac:dyDescent="0.3">
      <c r="B1205" t="str">
        <f>"            sr_paddr_dat["&amp;A1202&amp;"]   &lt;= 24'h0;"</f>
        <v xml:space="preserve">            sr_paddr_dat[105]   &lt;= 24'h0;</v>
      </c>
    </row>
    <row r="1206" spans="1:2" x14ac:dyDescent="0.3">
      <c r="B1206" t="s">
        <v>2</v>
      </c>
    </row>
    <row r="1207" spans="1:2" x14ac:dyDescent="0.3">
      <c r="B1207" t="str">
        <f>"           if (PADDR_CNT == 7'd"&amp;A1202&amp;")"</f>
        <v xml:space="preserve">           if (PADDR_CNT == 7'd105)</v>
      </c>
    </row>
    <row r="1208" spans="1:2" x14ac:dyDescent="0.3">
      <c r="B1208" t="str">
        <f>"               sr_paddr_dat["&amp;A1202&amp;"]  &lt;= sr_page_paddr_buf;"</f>
        <v xml:space="preserve">               sr_paddr_dat[105]  &lt;= sr_page_paddr_buf;</v>
      </c>
    </row>
    <row r="1209" spans="1:2" x14ac:dyDescent="0.3">
      <c r="B1209" t="s">
        <v>3</v>
      </c>
    </row>
    <row r="1210" spans="1:2" x14ac:dyDescent="0.3">
      <c r="B1210" t="str">
        <f>"               sr_paddr_dat["&amp;A1202&amp;"]  &lt;= sr_paddr_dat["&amp;A1202&amp;"];"</f>
        <v xml:space="preserve">               sr_paddr_dat[105]  &lt;= sr_paddr_dat[105];</v>
      </c>
    </row>
    <row r="1211" spans="1:2" x14ac:dyDescent="0.3">
      <c r="B1211" t="s">
        <v>4</v>
      </c>
    </row>
    <row r="1212" spans="1:2" x14ac:dyDescent="0.3">
      <c r="B1212" t="s">
        <v>5</v>
      </c>
    </row>
    <row r="1214" spans="1:2" x14ac:dyDescent="0.3">
      <c r="A1214">
        <f>A1202+1</f>
        <v>106</v>
      </c>
      <c r="B1214" t="str">
        <f>"    // Page Address Resister"&amp;A1214</f>
        <v xml:space="preserve">    // Page Address Resister106</v>
      </c>
    </row>
    <row r="1215" spans="1:2" x14ac:dyDescent="0.3">
      <c r="A1215" t="str">
        <f>DEC2HEX(A1214)</f>
        <v>6A</v>
      </c>
      <c r="B1215" t="s">
        <v>0</v>
      </c>
    </row>
    <row r="1216" spans="1:2" x14ac:dyDescent="0.3">
      <c r="B1216" t="s">
        <v>1</v>
      </c>
    </row>
    <row r="1217" spans="1:2" x14ac:dyDescent="0.3">
      <c r="B1217" t="str">
        <f>"            sr_paddr_dat["&amp;A1214&amp;"]   &lt;= 24'h0;"</f>
        <v xml:space="preserve">            sr_paddr_dat[106]   &lt;= 24'h0;</v>
      </c>
    </row>
    <row r="1218" spans="1:2" x14ac:dyDescent="0.3">
      <c r="B1218" t="s">
        <v>2</v>
      </c>
    </row>
    <row r="1219" spans="1:2" x14ac:dyDescent="0.3">
      <c r="B1219" t="str">
        <f>"           if (PADDR_CNT == 7'd"&amp;A1214&amp;")"</f>
        <v xml:space="preserve">           if (PADDR_CNT == 7'd106)</v>
      </c>
    </row>
    <row r="1220" spans="1:2" x14ac:dyDescent="0.3">
      <c r="B1220" t="str">
        <f>"               sr_paddr_dat["&amp;A1214&amp;"]  &lt;= sr_page_paddr_buf;"</f>
        <v xml:space="preserve">               sr_paddr_dat[106]  &lt;= sr_page_paddr_buf;</v>
      </c>
    </row>
    <row r="1221" spans="1:2" x14ac:dyDescent="0.3">
      <c r="B1221" t="s">
        <v>3</v>
      </c>
    </row>
    <row r="1222" spans="1:2" x14ac:dyDescent="0.3">
      <c r="B1222" t="str">
        <f>"               sr_paddr_dat["&amp;A1214&amp;"]  &lt;= sr_paddr_dat["&amp;A1214&amp;"];"</f>
        <v xml:space="preserve">               sr_paddr_dat[106]  &lt;= sr_paddr_dat[106];</v>
      </c>
    </row>
    <row r="1223" spans="1:2" x14ac:dyDescent="0.3">
      <c r="B1223" t="s">
        <v>4</v>
      </c>
    </row>
    <row r="1224" spans="1:2" x14ac:dyDescent="0.3">
      <c r="B1224" t="s">
        <v>5</v>
      </c>
    </row>
    <row r="1226" spans="1:2" x14ac:dyDescent="0.3">
      <c r="A1226">
        <f>A1214+1</f>
        <v>107</v>
      </c>
      <c r="B1226" t="str">
        <f>"    // Page Address Resister"&amp;A1226</f>
        <v xml:space="preserve">    // Page Address Resister107</v>
      </c>
    </row>
    <row r="1227" spans="1:2" x14ac:dyDescent="0.3">
      <c r="A1227" t="str">
        <f>DEC2HEX(A1226)</f>
        <v>6B</v>
      </c>
      <c r="B1227" t="s">
        <v>0</v>
      </c>
    </row>
    <row r="1228" spans="1:2" x14ac:dyDescent="0.3">
      <c r="B1228" t="s">
        <v>1</v>
      </c>
    </row>
    <row r="1229" spans="1:2" x14ac:dyDescent="0.3">
      <c r="B1229" t="str">
        <f>"            sr_paddr_dat["&amp;A1226&amp;"]   &lt;= 24'h0;"</f>
        <v xml:space="preserve">            sr_paddr_dat[107]   &lt;= 24'h0;</v>
      </c>
    </row>
    <row r="1230" spans="1:2" x14ac:dyDescent="0.3">
      <c r="B1230" t="s">
        <v>2</v>
      </c>
    </row>
    <row r="1231" spans="1:2" x14ac:dyDescent="0.3">
      <c r="B1231" t="str">
        <f>"           if (PADDR_CNT == 7'd"&amp;A1226&amp;")"</f>
        <v xml:space="preserve">           if (PADDR_CNT == 7'd107)</v>
      </c>
    </row>
    <row r="1232" spans="1:2" x14ac:dyDescent="0.3">
      <c r="B1232" t="str">
        <f>"               sr_paddr_dat["&amp;A1226&amp;"]  &lt;= sr_page_paddr_buf;"</f>
        <v xml:space="preserve">               sr_paddr_dat[107]  &lt;= sr_page_paddr_buf;</v>
      </c>
    </row>
    <row r="1233" spans="1:2" x14ac:dyDescent="0.3">
      <c r="B1233" t="s">
        <v>3</v>
      </c>
    </row>
    <row r="1234" spans="1:2" x14ac:dyDescent="0.3">
      <c r="B1234" t="str">
        <f>"               sr_paddr_dat["&amp;A1226&amp;"]  &lt;= sr_paddr_dat["&amp;A1226&amp;"];"</f>
        <v xml:space="preserve">               sr_paddr_dat[107]  &lt;= sr_paddr_dat[107];</v>
      </c>
    </row>
    <row r="1235" spans="1:2" x14ac:dyDescent="0.3">
      <c r="B1235" t="s">
        <v>4</v>
      </c>
    </row>
    <row r="1236" spans="1:2" x14ac:dyDescent="0.3">
      <c r="B1236" t="s">
        <v>5</v>
      </c>
    </row>
    <row r="1238" spans="1:2" x14ac:dyDescent="0.3">
      <c r="A1238">
        <f>A1226+1</f>
        <v>108</v>
      </c>
      <c r="B1238" t="str">
        <f>"    // Page Address Resister"&amp;A1238</f>
        <v xml:space="preserve">    // Page Address Resister108</v>
      </c>
    </row>
    <row r="1239" spans="1:2" x14ac:dyDescent="0.3">
      <c r="A1239" t="str">
        <f>DEC2HEX(A1238)</f>
        <v>6C</v>
      </c>
      <c r="B1239" t="s">
        <v>0</v>
      </c>
    </row>
    <row r="1240" spans="1:2" x14ac:dyDescent="0.3">
      <c r="B1240" t="s">
        <v>1</v>
      </c>
    </row>
    <row r="1241" spans="1:2" x14ac:dyDescent="0.3">
      <c r="B1241" t="str">
        <f>"            sr_paddr_dat["&amp;A1238&amp;"]   &lt;= 24'h0;"</f>
        <v xml:space="preserve">            sr_paddr_dat[108]   &lt;= 24'h0;</v>
      </c>
    </row>
    <row r="1242" spans="1:2" x14ac:dyDescent="0.3">
      <c r="B1242" t="s">
        <v>2</v>
      </c>
    </row>
    <row r="1243" spans="1:2" x14ac:dyDescent="0.3">
      <c r="B1243" t="str">
        <f>"           if (PADDR_CNT == 7'd"&amp;A1238&amp;")"</f>
        <v xml:space="preserve">           if (PADDR_CNT == 7'd108)</v>
      </c>
    </row>
    <row r="1244" spans="1:2" x14ac:dyDescent="0.3">
      <c r="B1244" t="str">
        <f>"               sr_paddr_dat["&amp;A1238&amp;"]  &lt;= sr_page_paddr_buf;"</f>
        <v xml:space="preserve">               sr_paddr_dat[108]  &lt;= sr_page_paddr_buf;</v>
      </c>
    </row>
    <row r="1245" spans="1:2" x14ac:dyDescent="0.3">
      <c r="B1245" t="s">
        <v>3</v>
      </c>
    </row>
    <row r="1246" spans="1:2" x14ac:dyDescent="0.3">
      <c r="B1246" t="str">
        <f>"               sr_paddr_dat["&amp;A1238&amp;"]  &lt;= sr_paddr_dat["&amp;A1238&amp;"];"</f>
        <v xml:space="preserve">               sr_paddr_dat[108]  &lt;= sr_paddr_dat[108];</v>
      </c>
    </row>
    <row r="1247" spans="1:2" x14ac:dyDescent="0.3">
      <c r="B1247" t="s">
        <v>4</v>
      </c>
    </row>
    <row r="1248" spans="1:2" x14ac:dyDescent="0.3">
      <c r="B1248" t="s">
        <v>5</v>
      </c>
    </row>
    <row r="1250" spans="1:2" x14ac:dyDescent="0.3">
      <c r="A1250">
        <f>A1238+1</f>
        <v>109</v>
      </c>
      <c r="B1250" t="str">
        <f>"    // Page Address Resister"&amp;A1250</f>
        <v xml:space="preserve">    // Page Address Resister109</v>
      </c>
    </row>
    <row r="1251" spans="1:2" x14ac:dyDescent="0.3">
      <c r="A1251" t="str">
        <f>DEC2HEX(A1250)</f>
        <v>6D</v>
      </c>
      <c r="B1251" t="s">
        <v>0</v>
      </c>
    </row>
    <row r="1252" spans="1:2" x14ac:dyDescent="0.3">
      <c r="B1252" t="s">
        <v>1</v>
      </c>
    </row>
    <row r="1253" spans="1:2" x14ac:dyDescent="0.3">
      <c r="B1253" t="str">
        <f>"            sr_paddr_dat["&amp;A1250&amp;"]   &lt;= 24'h0;"</f>
        <v xml:space="preserve">            sr_paddr_dat[109]   &lt;= 24'h0;</v>
      </c>
    </row>
    <row r="1254" spans="1:2" x14ac:dyDescent="0.3">
      <c r="B1254" t="s">
        <v>2</v>
      </c>
    </row>
    <row r="1255" spans="1:2" x14ac:dyDescent="0.3">
      <c r="B1255" t="str">
        <f>"           if (PADDR_CNT == 7'd"&amp;A1250&amp;")"</f>
        <v xml:space="preserve">           if (PADDR_CNT == 7'd109)</v>
      </c>
    </row>
    <row r="1256" spans="1:2" x14ac:dyDescent="0.3">
      <c r="B1256" t="str">
        <f>"               sr_paddr_dat["&amp;A1250&amp;"]  &lt;= sr_page_paddr_buf;"</f>
        <v xml:space="preserve">               sr_paddr_dat[109]  &lt;= sr_page_paddr_buf;</v>
      </c>
    </row>
    <row r="1257" spans="1:2" x14ac:dyDescent="0.3">
      <c r="B1257" t="s">
        <v>3</v>
      </c>
    </row>
    <row r="1258" spans="1:2" x14ac:dyDescent="0.3">
      <c r="B1258" t="str">
        <f>"               sr_paddr_dat["&amp;A1250&amp;"]  &lt;= sr_paddr_dat["&amp;A1250&amp;"];"</f>
        <v xml:space="preserve">               sr_paddr_dat[109]  &lt;= sr_paddr_dat[109];</v>
      </c>
    </row>
    <row r="1259" spans="1:2" x14ac:dyDescent="0.3">
      <c r="B1259" t="s">
        <v>4</v>
      </c>
    </row>
    <row r="1260" spans="1:2" x14ac:dyDescent="0.3">
      <c r="B1260" t="s">
        <v>5</v>
      </c>
    </row>
    <row r="1262" spans="1:2" x14ac:dyDescent="0.3">
      <c r="A1262">
        <f>A1250+1</f>
        <v>110</v>
      </c>
      <c r="B1262" t="str">
        <f>"    // Page Address Resister"&amp;A1262</f>
        <v xml:space="preserve">    // Page Address Resister110</v>
      </c>
    </row>
    <row r="1263" spans="1:2" x14ac:dyDescent="0.3">
      <c r="A1263" t="str">
        <f>DEC2HEX(A1262)</f>
        <v>6E</v>
      </c>
      <c r="B1263" t="s">
        <v>0</v>
      </c>
    </row>
    <row r="1264" spans="1:2" x14ac:dyDescent="0.3">
      <c r="B1264" t="s">
        <v>1</v>
      </c>
    </row>
    <row r="1265" spans="1:2" x14ac:dyDescent="0.3">
      <c r="B1265" t="str">
        <f>"            sr_paddr_dat["&amp;A1262&amp;"]   &lt;= 24'h0;"</f>
        <v xml:space="preserve">            sr_paddr_dat[110]   &lt;= 24'h0;</v>
      </c>
    </row>
    <row r="1266" spans="1:2" x14ac:dyDescent="0.3">
      <c r="B1266" t="s">
        <v>2</v>
      </c>
    </row>
    <row r="1267" spans="1:2" x14ac:dyDescent="0.3">
      <c r="B1267" t="str">
        <f>"           if (PADDR_CNT == 7'd"&amp;A1262&amp;")"</f>
        <v xml:space="preserve">           if (PADDR_CNT == 7'd110)</v>
      </c>
    </row>
    <row r="1268" spans="1:2" x14ac:dyDescent="0.3">
      <c r="B1268" t="str">
        <f>"               sr_paddr_dat["&amp;A1262&amp;"]  &lt;= sr_page_paddr_buf;"</f>
        <v xml:space="preserve">               sr_paddr_dat[110]  &lt;= sr_page_paddr_buf;</v>
      </c>
    </row>
    <row r="1269" spans="1:2" x14ac:dyDescent="0.3">
      <c r="B1269" t="s">
        <v>3</v>
      </c>
    </row>
    <row r="1270" spans="1:2" x14ac:dyDescent="0.3">
      <c r="B1270" t="str">
        <f>"               sr_paddr_dat["&amp;A1262&amp;"]  &lt;= sr_paddr_dat["&amp;A1262&amp;"];"</f>
        <v xml:space="preserve">               sr_paddr_dat[110]  &lt;= sr_paddr_dat[110];</v>
      </c>
    </row>
    <row r="1271" spans="1:2" x14ac:dyDescent="0.3">
      <c r="B1271" t="s">
        <v>4</v>
      </c>
    </row>
    <row r="1272" spans="1:2" x14ac:dyDescent="0.3">
      <c r="B1272" t="s">
        <v>5</v>
      </c>
    </row>
    <row r="1274" spans="1:2" x14ac:dyDescent="0.3">
      <c r="A1274">
        <f>A1262+1</f>
        <v>111</v>
      </c>
      <c r="B1274" t="str">
        <f>"    // Page Address Resister"&amp;A1274</f>
        <v xml:space="preserve">    // Page Address Resister111</v>
      </c>
    </row>
    <row r="1275" spans="1:2" x14ac:dyDescent="0.3">
      <c r="A1275" t="str">
        <f>DEC2HEX(A1274)</f>
        <v>6F</v>
      </c>
      <c r="B1275" t="s">
        <v>0</v>
      </c>
    </row>
    <row r="1276" spans="1:2" x14ac:dyDescent="0.3">
      <c r="B1276" t="s">
        <v>1</v>
      </c>
    </row>
    <row r="1277" spans="1:2" x14ac:dyDescent="0.3">
      <c r="B1277" t="str">
        <f>"            sr_paddr_dat["&amp;A1274&amp;"]   &lt;= 24'h0;"</f>
        <v xml:space="preserve">            sr_paddr_dat[111]   &lt;= 24'h0;</v>
      </c>
    </row>
    <row r="1278" spans="1:2" x14ac:dyDescent="0.3">
      <c r="B1278" t="s">
        <v>2</v>
      </c>
    </row>
    <row r="1279" spans="1:2" x14ac:dyDescent="0.3">
      <c r="B1279" t="str">
        <f>"           if (PADDR_CNT == 7'd"&amp;A1274&amp;")"</f>
        <v xml:space="preserve">           if (PADDR_CNT == 7'd111)</v>
      </c>
    </row>
    <row r="1280" spans="1:2" x14ac:dyDescent="0.3">
      <c r="B1280" t="str">
        <f>"               sr_paddr_dat["&amp;A1274&amp;"]  &lt;= sr_page_paddr_buf;"</f>
        <v xml:space="preserve">               sr_paddr_dat[111]  &lt;= sr_page_paddr_buf;</v>
      </c>
    </row>
    <row r="1281" spans="1:2" x14ac:dyDescent="0.3">
      <c r="B1281" t="s">
        <v>3</v>
      </c>
    </row>
    <row r="1282" spans="1:2" x14ac:dyDescent="0.3">
      <c r="B1282" t="str">
        <f>"               sr_paddr_dat["&amp;A1274&amp;"]  &lt;= sr_paddr_dat["&amp;A1274&amp;"];"</f>
        <v xml:space="preserve">               sr_paddr_dat[111]  &lt;= sr_paddr_dat[111];</v>
      </c>
    </row>
    <row r="1283" spans="1:2" x14ac:dyDescent="0.3">
      <c r="B1283" t="s">
        <v>4</v>
      </c>
    </row>
    <row r="1284" spans="1:2" x14ac:dyDescent="0.3">
      <c r="B1284" t="s">
        <v>5</v>
      </c>
    </row>
    <row r="1286" spans="1:2" x14ac:dyDescent="0.3">
      <c r="A1286">
        <f>A1274+1</f>
        <v>112</v>
      </c>
      <c r="B1286" t="str">
        <f>"    // Page Address Resister"&amp;A1286</f>
        <v xml:space="preserve">    // Page Address Resister112</v>
      </c>
    </row>
    <row r="1287" spans="1:2" x14ac:dyDescent="0.3">
      <c r="A1287" t="str">
        <f>DEC2HEX(A1286)</f>
        <v>70</v>
      </c>
      <c r="B1287" t="s">
        <v>0</v>
      </c>
    </row>
    <row r="1288" spans="1:2" x14ac:dyDescent="0.3">
      <c r="B1288" t="s">
        <v>1</v>
      </c>
    </row>
    <row r="1289" spans="1:2" x14ac:dyDescent="0.3">
      <c r="B1289" t="str">
        <f>"            sr_paddr_dat["&amp;A1286&amp;"]   &lt;= 24'h0;"</f>
        <v xml:space="preserve">            sr_paddr_dat[112]   &lt;= 24'h0;</v>
      </c>
    </row>
    <row r="1290" spans="1:2" x14ac:dyDescent="0.3">
      <c r="B1290" t="s">
        <v>2</v>
      </c>
    </row>
    <row r="1291" spans="1:2" x14ac:dyDescent="0.3">
      <c r="B1291" t="str">
        <f>"           if (PADDR_CNT == 7'd"&amp;A1286&amp;")"</f>
        <v xml:space="preserve">           if (PADDR_CNT == 7'd112)</v>
      </c>
    </row>
    <row r="1292" spans="1:2" x14ac:dyDescent="0.3">
      <c r="B1292" t="str">
        <f>"               sr_paddr_dat["&amp;A1286&amp;"]  &lt;= sr_page_paddr_buf;"</f>
        <v xml:space="preserve">               sr_paddr_dat[112]  &lt;= sr_page_paddr_buf;</v>
      </c>
    </row>
    <row r="1293" spans="1:2" x14ac:dyDescent="0.3">
      <c r="B1293" t="s">
        <v>3</v>
      </c>
    </row>
    <row r="1294" spans="1:2" x14ac:dyDescent="0.3">
      <c r="B1294" t="str">
        <f>"               sr_paddr_dat["&amp;A1286&amp;"]  &lt;= sr_paddr_dat["&amp;A1286&amp;"];"</f>
        <v xml:space="preserve">               sr_paddr_dat[112]  &lt;= sr_paddr_dat[112];</v>
      </c>
    </row>
    <row r="1295" spans="1:2" x14ac:dyDescent="0.3">
      <c r="B1295" t="s">
        <v>4</v>
      </c>
    </row>
    <row r="1296" spans="1:2" x14ac:dyDescent="0.3">
      <c r="B1296" t="s">
        <v>5</v>
      </c>
    </row>
    <row r="1298" spans="1:2" x14ac:dyDescent="0.3">
      <c r="A1298">
        <f>A1286+1</f>
        <v>113</v>
      </c>
      <c r="B1298" t="str">
        <f>"    // Page Address Resister"&amp;A1298</f>
        <v xml:space="preserve">    // Page Address Resister113</v>
      </c>
    </row>
    <row r="1299" spans="1:2" x14ac:dyDescent="0.3">
      <c r="A1299" t="str">
        <f>DEC2HEX(A1298)</f>
        <v>71</v>
      </c>
      <c r="B1299" t="s">
        <v>0</v>
      </c>
    </row>
    <row r="1300" spans="1:2" x14ac:dyDescent="0.3">
      <c r="B1300" t="s">
        <v>1</v>
      </c>
    </row>
    <row r="1301" spans="1:2" x14ac:dyDescent="0.3">
      <c r="B1301" t="str">
        <f>"            sr_paddr_dat["&amp;A1298&amp;"]   &lt;= 24'h0;"</f>
        <v xml:space="preserve">            sr_paddr_dat[113]   &lt;= 24'h0;</v>
      </c>
    </row>
    <row r="1302" spans="1:2" x14ac:dyDescent="0.3">
      <c r="B1302" t="s">
        <v>2</v>
      </c>
    </row>
    <row r="1303" spans="1:2" x14ac:dyDescent="0.3">
      <c r="B1303" t="str">
        <f>"           if (PADDR_CNT == 7'd"&amp;A1298&amp;")"</f>
        <v xml:space="preserve">           if (PADDR_CNT == 7'd113)</v>
      </c>
    </row>
    <row r="1304" spans="1:2" x14ac:dyDescent="0.3">
      <c r="B1304" t="str">
        <f>"               sr_paddr_dat["&amp;A1298&amp;"]  &lt;= sr_page_paddr_buf;"</f>
        <v xml:space="preserve">               sr_paddr_dat[113]  &lt;= sr_page_paddr_buf;</v>
      </c>
    </row>
    <row r="1305" spans="1:2" x14ac:dyDescent="0.3">
      <c r="B1305" t="s">
        <v>3</v>
      </c>
    </row>
    <row r="1306" spans="1:2" x14ac:dyDescent="0.3">
      <c r="B1306" t="str">
        <f>"               sr_paddr_dat["&amp;A1298&amp;"]  &lt;= sr_paddr_dat["&amp;A1298&amp;"];"</f>
        <v xml:space="preserve">               sr_paddr_dat[113]  &lt;= sr_paddr_dat[113];</v>
      </c>
    </row>
    <row r="1307" spans="1:2" x14ac:dyDescent="0.3">
      <c r="B1307" t="s">
        <v>4</v>
      </c>
    </row>
    <row r="1308" spans="1:2" x14ac:dyDescent="0.3">
      <c r="B1308" t="s">
        <v>5</v>
      </c>
    </row>
    <row r="1310" spans="1:2" x14ac:dyDescent="0.3">
      <c r="A1310">
        <f>A1298+1</f>
        <v>114</v>
      </c>
      <c r="B1310" t="str">
        <f>"    // Page Address Resister"&amp;A1310</f>
        <v xml:space="preserve">    // Page Address Resister114</v>
      </c>
    </row>
    <row r="1311" spans="1:2" x14ac:dyDescent="0.3">
      <c r="A1311" t="str">
        <f>DEC2HEX(A1310)</f>
        <v>72</v>
      </c>
      <c r="B1311" t="s">
        <v>0</v>
      </c>
    </row>
    <row r="1312" spans="1:2" x14ac:dyDescent="0.3">
      <c r="B1312" t="s">
        <v>1</v>
      </c>
    </row>
    <row r="1313" spans="1:2" x14ac:dyDescent="0.3">
      <c r="B1313" t="str">
        <f>"            sr_paddr_dat["&amp;A1310&amp;"]   &lt;= 24'h0;"</f>
        <v xml:space="preserve">            sr_paddr_dat[114]   &lt;= 24'h0;</v>
      </c>
    </row>
    <row r="1314" spans="1:2" x14ac:dyDescent="0.3">
      <c r="B1314" t="s">
        <v>2</v>
      </c>
    </row>
    <row r="1315" spans="1:2" x14ac:dyDescent="0.3">
      <c r="B1315" t="str">
        <f>"           if (PADDR_CNT == 7'd"&amp;A1310&amp;")"</f>
        <v xml:space="preserve">           if (PADDR_CNT == 7'd114)</v>
      </c>
    </row>
    <row r="1316" spans="1:2" x14ac:dyDescent="0.3">
      <c r="B1316" t="str">
        <f>"               sr_paddr_dat["&amp;A1310&amp;"]  &lt;= sr_page_paddr_buf;"</f>
        <v xml:space="preserve">               sr_paddr_dat[114]  &lt;= sr_page_paddr_buf;</v>
      </c>
    </row>
    <row r="1317" spans="1:2" x14ac:dyDescent="0.3">
      <c r="B1317" t="s">
        <v>3</v>
      </c>
    </row>
    <row r="1318" spans="1:2" x14ac:dyDescent="0.3">
      <c r="B1318" t="str">
        <f>"               sr_paddr_dat["&amp;A1310&amp;"]  &lt;= sr_paddr_dat["&amp;A1310&amp;"];"</f>
        <v xml:space="preserve">               sr_paddr_dat[114]  &lt;= sr_paddr_dat[114];</v>
      </c>
    </row>
    <row r="1319" spans="1:2" x14ac:dyDescent="0.3">
      <c r="B1319" t="s">
        <v>4</v>
      </c>
    </row>
    <row r="1320" spans="1:2" x14ac:dyDescent="0.3">
      <c r="B1320" t="s">
        <v>5</v>
      </c>
    </row>
    <row r="1322" spans="1:2" x14ac:dyDescent="0.3">
      <c r="A1322">
        <f>A1310+1</f>
        <v>115</v>
      </c>
      <c r="B1322" t="str">
        <f>"    // Page Address Resister"&amp;A1322</f>
        <v xml:space="preserve">    // Page Address Resister115</v>
      </c>
    </row>
    <row r="1323" spans="1:2" x14ac:dyDescent="0.3">
      <c r="A1323" t="str">
        <f>DEC2HEX(A1322)</f>
        <v>73</v>
      </c>
      <c r="B1323" t="s">
        <v>0</v>
      </c>
    </row>
    <row r="1324" spans="1:2" x14ac:dyDescent="0.3">
      <c r="B1324" t="s">
        <v>1</v>
      </c>
    </row>
    <row r="1325" spans="1:2" x14ac:dyDescent="0.3">
      <c r="B1325" t="str">
        <f>"            sr_paddr_dat["&amp;A1322&amp;"]   &lt;= 24'h0;"</f>
        <v xml:space="preserve">            sr_paddr_dat[115]   &lt;= 24'h0;</v>
      </c>
    </row>
    <row r="1326" spans="1:2" x14ac:dyDescent="0.3">
      <c r="B1326" t="s">
        <v>2</v>
      </c>
    </row>
    <row r="1327" spans="1:2" x14ac:dyDescent="0.3">
      <c r="B1327" t="str">
        <f>"           if (PADDR_CNT == 7'd"&amp;A1322&amp;")"</f>
        <v xml:space="preserve">           if (PADDR_CNT == 7'd115)</v>
      </c>
    </row>
    <row r="1328" spans="1:2" x14ac:dyDescent="0.3">
      <c r="B1328" t="str">
        <f>"               sr_paddr_dat["&amp;A1322&amp;"]  &lt;= sr_page_paddr_buf;"</f>
        <v xml:space="preserve">               sr_paddr_dat[115]  &lt;= sr_page_paddr_buf;</v>
      </c>
    </row>
    <row r="1329" spans="1:2" x14ac:dyDescent="0.3">
      <c r="B1329" t="s">
        <v>3</v>
      </c>
    </row>
    <row r="1330" spans="1:2" x14ac:dyDescent="0.3">
      <c r="B1330" t="str">
        <f>"               sr_paddr_dat["&amp;A1322&amp;"]  &lt;= sr_paddr_dat["&amp;A1322&amp;"];"</f>
        <v xml:space="preserve">               sr_paddr_dat[115]  &lt;= sr_paddr_dat[115];</v>
      </c>
    </row>
    <row r="1331" spans="1:2" x14ac:dyDescent="0.3">
      <c r="B1331" t="s">
        <v>4</v>
      </c>
    </row>
    <row r="1332" spans="1:2" x14ac:dyDescent="0.3">
      <c r="B1332" t="s">
        <v>5</v>
      </c>
    </row>
    <row r="1334" spans="1:2" x14ac:dyDescent="0.3">
      <c r="A1334">
        <f>A1322+1</f>
        <v>116</v>
      </c>
      <c r="B1334" t="str">
        <f>"    // Page Address Resister"&amp;A1334</f>
        <v xml:space="preserve">    // Page Address Resister116</v>
      </c>
    </row>
    <row r="1335" spans="1:2" x14ac:dyDescent="0.3">
      <c r="A1335" t="str">
        <f>DEC2HEX(A1334)</f>
        <v>74</v>
      </c>
      <c r="B1335" t="s">
        <v>0</v>
      </c>
    </row>
    <row r="1336" spans="1:2" x14ac:dyDescent="0.3">
      <c r="B1336" t="s">
        <v>1</v>
      </c>
    </row>
    <row r="1337" spans="1:2" x14ac:dyDescent="0.3">
      <c r="B1337" t="str">
        <f>"            sr_paddr_dat["&amp;A1334&amp;"]   &lt;= 24'h0;"</f>
        <v xml:space="preserve">            sr_paddr_dat[116]   &lt;= 24'h0;</v>
      </c>
    </row>
    <row r="1338" spans="1:2" x14ac:dyDescent="0.3">
      <c r="B1338" t="s">
        <v>2</v>
      </c>
    </row>
    <row r="1339" spans="1:2" x14ac:dyDescent="0.3">
      <c r="B1339" t="str">
        <f>"           if (PADDR_CNT == 7'd"&amp;A1334&amp;")"</f>
        <v xml:space="preserve">           if (PADDR_CNT == 7'd116)</v>
      </c>
    </row>
    <row r="1340" spans="1:2" x14ac:dyDescent="0.3">
      <c r="B1340" t="str">
        <f>"               sr_paddr_dat["&amp;A1334&amp;"]  &lt;= sr_page_paddr_buf;"</f>
        <v xml:space="preserve">               sr_paddr_dat[116]  &lt;= sr_page_paddr_buf;</v>
      </c>
    </row>
    <row r="1341" spans="1:2" x14ac:dyDescent="0.3">
      <c r="B1341" t="s">
        <v>3</v>
      </c>
    </row>
    <row r="1342" spans="1:2" x14ac:dyDescent="0.3">
      <c r="B1342" t="str">
        <f>"               sr_paddr_dat["&amp;A1334&amp;"]  &lt;= sr_paddr_dat["&amp;A1334&amp;"];"</f>
        <v xml:space="preserve">               sr_paddr_dat[116]  &lt;= sr_paddr_dat[116];</v>
      </c>
    </row>
    <row r="1343" spans="1:2" x14ac:dyDescent="0.3">
      <c r="B1343" t="s">
        <v>4</v>
      </c>
    </row>
    <row r="1344" spans="1:2" x14ac:dyDescent="0.3">
      <c r="B1344" t="s">
        <v>5</v>
      </c>
    </row>
    <row r="1346" spans="1:2" x14ac:dyDescent="0.3">
      <c r="A1346">
        <f>A1334+1</f>
        <v>117</v>
      </c>
      <c r="B1346" t="str">
        <f>"    // Page Address Resister"&amp;A1346</f>
        <v xml:space="preserve">    // Page Address Resister117</v>
      </c>
    </row>
    <row r="1347" spans="1:2" x14ac:dyDescent="0.3">
      <c r="A1347" t="str">
        <f>DEC2HEX(A1346)</f>
        <v>75</v>
      </c>
      <c r="B1347" t="s">
        <v>0</v>
      </c>
    </row>
    <row r="1348" spans="1:2" x14ac:dyDescent="0.3">
      <c r="B1348" t="s">
        <v>1</v>
      </c>
    </row>
    <row r="1349" spans="1:2" x14ac:dyDescent="0.3">
      <c r="B1349" t="str">
        <f>"            sr_paddr_dat["&amp;A1346&amp;"]   &lt;= 24'h0;"</f>
        <v xml:space="preserve">            sr_paddr_dat[117]   &lt;= 24'h0;</v>
      </c>
    </row>
    <row r="1350" spans="1:2" x14ac:dyDescent="0.3">
      <c r="B1350" t="s">
        <v>2</v>
      </c>
    </row>
    <row r="1351" spans="1:2" x14ac:dyDescent="0.3">
      <c r="B1351" t="str">
        <f>"           if (PADDR_CNT == 7'd"&amp;A1346&amp;")"</f>
        <v xml:space="preserve">           if (PADDR_CNT == 7'd117)</v>
      </c>
    </row>
    <row r="1352" spans="1:2" x14ac:dyDescent="0.3">
      <c r="B1352" t="str">
        <f>"               sr_paddr_dat["&amp;A1346&amp;"]  &lt;= sr_page_paddr_buf;"</f>
        <v xml:space="preserve">               sr_paddr_dat[117]  &lt;= sr_page_paddr_buf;</v>
      </c>
    </row>
    <row r="1353" spans="1:2" x14ac:dyDescent="0.3">
      <c r="B1353" t="s">
        <v>3</v>
      </c>
    </row>
    <row r="1354" spans="1:2" x14ac:dyDescent="0.3">
      <c r="B1354" t="str">
        <f>"               sr_paddr_dat["&amp;A1346&amp;"]  &lt;= sr_paddr_dat["&amp;A1346&amp;"];"</f>
        <v xml:space="preserve">               sr_paddr_dat[117]  &lt;= sr_paddr_dat[117];</v>
      </c>
    </row>
    <row r="1355" spans="1:2" x14ac:dyDescent="0.3">
      <c r="B1355" t="s">
        <v>4</v>
      </c>
    </row>
    <row r="1356" spans="1:2" x14ac:dyDescent="0.3">
      <c r="B1356" t="s">
        <v>5</v>
      </c>
    </row>
    <row r="1358" spans="1:2" x14ac:dyDescent="0.3">
      <c r="A1358">
        <f>A1346+1</f>
        <v>118</v>
      </c>
      <c r="B1358" t="str">
        <f>"    // Page Address Resister"&amp;A1358</f>
        <v xml:space="preserve">    // Page Address Resister118</v>
      </c>
    </row>
    <row r="1359" spans="1:2" x14ac:dyDescent="0.3">
      <c r="A1359" t="str">
        <f>DEC2HEX(A1358)</f>
        <v>76</v>
      </c>
      <c r="B1359" t="s">
        <v>0</v>
      </c>
    </row>
    <row r="1360" spans="1:2" x14ac:dyDescent="0.3">
      <c r="B1360" t="s">
        <v>1</v>
      </c>
    </row>
    <row r="1361" spans="1:2" x14ac:dyDescent="0.3">
      <c r="B1361" t="str">
        <f>"            sr_paddr_dat["&amp;A1358&amp;"]   &lt;= 24'h0;"</f>
        <v xml:space="preserve">            sr_paddr_dat[118]   &lt;= 24'h0;</v>
      </c>
    </row>
    <row r="1362" spans="1:2" x14ac:dyDescent="0.3">
      <c r="B1362" t="s">
        <v>2</v>
      </c>
    </row>
    <row r="1363" spans="1:2" x14ac:dyDescent="0.3">
      <c r="B1363" t="str">
        <f>"           if (PADDR_CNT == 7'd"&amp;A1358&amp;")"</f>
        <v xml:space="preserve">           if (PADDR_CNT == 7'd118)</v>
      </c>
    </row>
    <row r="1364" spans="1:2" x14ac:dyDescent="0.3">
      <c r="B1364" t="str">
        <f>"               sr_paddr_dat["&amp;A1358&amp;"]  &lt;= sr_page_paddr_buf;"</f>
        <v xml:space="preserve">               sr_paddr_dat[118]  &lt;= sr_page_paddr_buf;</v>
      </c>
    </row>
    <row r="1365" spans="1:2" x14ac:dyDescent="0.3">
      <c r="B1365" t="s">
        <v>3</v>
      </c>
    </row>
    <row r="1366" spans="1:2" x14ac:dyDescent="0.3">
      <c r="B1366" t="str">
        <f>"               sr_paddr_dat["&amp;A1358&amp;"]  &lt;= sr_paddr_dat["&amp;A1358&amp;"];"</f>
        <v xml:space="preserve">               sr_paddr_dat[118]  &lt;= sr_paddr_dat[118];</v>
      </c>
    </row>
    <row r="1367" spans="1:2" x14ac:dyDescent="0.3">
      <c r="B1367" t="s">
        <v>4</v>
      </c>
    </row>
    <row r="1368" spans="1:2" x14ac:dyDescent="0.3">
      <c r="B1368" t="s">
        <v>5</v>
      </c>
    </row>
    <row r="1370" spans="1:2" x14ac:dyDescent="0.3">
      <c r="A1370">
        <f>A1358+1</f>
        <v>119</v>
      </c>
      <c r="B1370" t="str">
        <f>"    // Page Address Resister"&amp;A1370</f>
        <v xml:space="preserve">    // Page Address Resister119</v>
      </c>
    </row>
    <row r="1371" spans="1:2" x14ac:dyDescent="0.3">
      <c r="A1371" t="str">
        <f>DEC2HEX(A1370)</f>
        <v>77</v>
      </c>
      <c r="B1371" t="s">
        <v>0</v>
      </c>
    </row>
    <row r="1372" spans="1:2" x14ac:dyDescent="0.3">
      <c r="B1372" t="s">
        <v>1</v>
      </c>
    </row>
    <row r="1373" spans="1:2" x14ac:dyDescent="0.3">
      <c r="B1373" t="str">
        <f>"            sr_paddr_dat["&amp;A1370&amp;"]   &lt;= 24'h0;"</f>
        <v xml:space="preserve">            sr_paddr_dat[119]   &lt;= 24'h0;</v>
      </c>
    </row>
    <row r="1374" spans="1:2" x14ac:dyDescent="0.3">
      <c r="B1374" t="s">
        <v>2</v>
      </c>
    </row>
    <row r="1375" spans="1:2" x14ac:dyDescent="0.3">
      <c r="B1375" t="str">
        <f>"           if (PADDR_CNT == 7'd"&amp;A1370&amp;")"</f>
        <v xml:space="preserve">           if (PADDR_CNT == 7'd119)</v>
      </c>
    </row>
    <row r="1376" spans="1:2" x14ac:dyDescent="0.3">
      <c r="B1376" t="str">
        <f>"               sr_paddr_dat["&amp;A1370&amp;"]  &lt;= sr_page_paddr_buf;"</f>
        <v xml:space="preserve">               sr_paddr_dat[119]  &lt;= sr_page_paddr_buf;</v>
      </c>
    </row>
    <row r="1377" spans="1:2" x14ac:dyDescent="0.3">
      <c r="B1377" t="s">
        <v>3</v>
      </c>
    </row>
    <row r="1378" spans="1:2" x14ac:dyDescent="0.3">
      <c r="B1378" t="str">
        <f>"               sr_paddr_dat["&amp;A1370&amp;"]  &lt;= sr_paddr_dat["&amp;A1370&amp;"];"</f>
        <v xml:space="preserve">               sr_paddr_dat[119]  &lt;= sr_paddr_dat[119];</v>
      </c>
    </row>
    <row r="1379" spans="1:2" x14ac:dyDescent="0.3">
      <c r="B1379" t="s">
        <v>4</v>
      </c>
    </row>
    <row r="1380" spans="1:2" x14ac:dyDescent="0.3">
      <c r="B1380" t="s">
        <v>5</v>
      </c>
    </row>
    <row r="1382" spans="1:2" x14ac:dyDescent="0.3">
      <c r="A1382">
        <f>A1370+1</f>
        <v>120</v>
      </c>
      <c r="B1382" t="str">
        <f>"    // Page Address Resister"&amp;A1382</f>
        <v xml:space="preserve">    // Page Address Resister120</v>
      </c>
    </row>
    <row r="1383" spans="1:2" x14ac:dyDescent="0.3">
      <c r="A1383" t="str">
        <f>DEC2HEX(A1382)</f>
        <v>78</v>
      </c>
      <c r="B1383" t="s">
        <v>0</v>
      </c>
    </row>
    <row r="1384" spans="1:2" x14ac:dyDescent="0.3">
      <c r="B1384" t="s">
        <v>1</v>
      </c>
    </row>
    <row r="1385" spans="1:2" x14ac:dyDescent="0.3">
      <c r="B1385" t="str">
        <f>"            sr_paddr_dat["&amp;A1382&amp;"]   &lt;= 24'h0;"</f>
        <v xml:space="preserve">            sr_paddr_dat[120]   &lt;= 24'h0;</v>
      </c>
    </row>
    <row r="1386" spans="1:2" x14ac:dyDescent="0.3">
      <c r="B1386" t="s">
        <v>2</v>
      </c>
    </row>
    <row r="1387" spans="1:2" x14ac:dyDescent="0.3">
      <c r="B1387" t="str">
        <f>"           if (PADDR_CNT == 7'd"&amp;A1382&amp;")"</f>
        <v xml:space="preserve">           if (PADDR_CNT == 7'd120)</v>
      </c>
    </row>
    <row r="1388" spans="1:2" x14ac:dyDescent="0.3">
      <c r="B1388" t="str">
        <f>"               sr_paddr_dat["&amp;A1382&amp;"]  &lt;= sr_page_paddr_buf;"</f>
        <v xml:space="preserve">               sr_paddr_dat[120]  &lt;= sr_page_paddr_buf;</v>
      </c>
    </row>
    <row r="1389" spans="1:2" x14ac:dyDescent="0.3">
      <c r="B1389" t="s">
        <v>3</v>
      </c>
    </row>
    <row r="1390" spans="1:2" x14ac:dyDescent="0.3">
      <c r="B1390" t="str">
        <f>"               sr_paddr_dat["&amp;A1382&amp;"]  &lt;= sr_paddr_dat["&amp;A1382&amp;"];"</f>
        <v xml:space="preserve">               sr_paddr_dat[120]  &lt;= sr_paddr_dat[120];</v>
      </c>
    </row>
    <row r="1391" spans="1:2" x14ac:dyDescent="0.3">
      <c r="B1391" t="s">
        <v>4</v>
      </c>
    </row>
    <row r="1392" spans="1:2" x14ac:dyDescent="0.3">
      <c r="B1392" t="s">
        <v>5</v>
      </c>
    </row>
    <row r="1394" spans="1:2" x14ac:dyDescent="0.3">
      <c r="A1394">
        <f>A1382+1</f>
        <v>121</v>
      </c>
      <c r="B1394" t="str">
        <f>"    // Page Address Resister"&amp;A1394</f>
        <v xml:space="preserve">    // Page Address Resister121</v>
      </c>
    </row>
    <row r="1395" spans="1:2" x14ac:dyDescent="0.3">
      <c r="A1395" t="str">
        <f>DEC2HEX(A1394)</f>
        <v>79</v>
      </c>
      <c r="B1395" t="s">
        <v>0</v>
      </c>
    </row>
    <row r="1396" spans="1:2" x14ac:dyDescent="0.3">
      <c r="B1396" t="s">
        <v>1</v>
      </c>
    </row>
    <row r="1397" spans="1:2" x14ac:dyDescent="0.3">
      <c r="B1397" t="str">
        <f>"            sr_paddr_dat["&amp;A1394&amp;"]   &lt;= 24'h0;"</f>
        <v xml:space="preserve">            sr_paddr_dat[121]   &lt;= 24'h0;</v>
      </c>
    </row>
    <row r="1398" spans="1:2" x14ac:dyDescent="0.3">
      <c r="B1398" t="s">
        <v>2</v>
      </c>
    </row>
    <row r="1399" spans="1:2" x14ac:dyDescent="0.3">
      <c r="B1399" t="str">
        <f>"           if (PADDR_CNT == 7'd"&amp;A1394&amp;")"</f>
        <v xml:space="preserve">           if (PADDR_CNT == 7'd121)</v>
      </c>
    </row>
    <row r="1400" spans="1:2" x14ac:dyDescent="0.3">
      <c r="B1400" t="str">
        <f>"               sr_paddr_dat["&amp;A1394&amp;"]  &lt;= sr_page_paddr_buf;"</f>
        <v xml:space="preserve">               sr_paddr_dat[121]  &lt;= sr_page_paddr_buf;</v>
      </c>
    </row>
    <row r="1401" spans="1:2" x14ac:dyDescent="0.3">
      <c r="B1401" t="s">
        <v>3</v>
      </c>
    </row>
    <row r="1402" spans="1:2" x14ac:dyDescent="0.3">
      <c r="B1402" t="str">
        <f>"               sr_paddr_dat["&amp;A1394&amp;"]  &lt;= sr_paddr_dat["&amp;A1394&amp;"];"</f>
        <v xml:space="preserve">               sr_paddr_dat[121]  &lt;= sr_paddr_dat[121];</v>
      </c>
    </row>
    <row r="1403" spans="1:2" x14ac:dyDescent="0.3">
      <c r="B1403" t="s">
        <v>4</v>
      </c>
    </row>
    <row r="1404" spans="1:2" x14ac:dyDescent="0.3">
      <c r="B1404" t="s">
        <v>5</v>
      </c>
    </row>
    <row r="1406" spans="1:2" x14ac:dyDescent="0.3">
      <c r="A1406">
        <f>A1394+1</f>
        <v>122</v>
      </c>
      <c r="B1406" t="str">
        <f>"    // Page Address Resister"&amp;A1406</f>
        <v xml:space="preserve">    // Page Address Resister122</v>
      </c>
    </row>
    <row r="1407" spans="1:2" x14ac:dyDescent="0.3">
      <c r="A1407" t="str">
        <f>DEC2HEX(A1406)</f>
        <v>7A</v>
      </c>
      <c r="B1407" t="s">
        <v>0</v>
      </c>
    </row>
    <row r="1408" spans="1:2" x14ac:dyDescent="0.3">
      <c r="B1408" t="s">
        <v>1</v>
      </c>
    </row>
    <row r="1409" spans="1:2" x14ac:dyDescent="0.3">
      <c r="B1409" t="str">
        <f>"            sr_paddr_dat["&amp;A1406&amp;"]   &lt;= 24'h0;"</f>
        <v xml:space="preserve">            sr_paddr_dat[122]   &lt;= 24'h0;</v>
      </c>
    </row>
    <row r="1410" spans="1:2" x14ac:dyDescent="0.3">
      <c r="B1410" t="s">
        <v>2</v>
      </c>
    </row>
    <row r="1411" spans="1:2" x14ac:dyDescent="0.3">
      <c r="B1411" t="str">
        <f>"           if (PADDR_CNT == 7'd"&amp;A1406&amp;")"</f>
        <v xml:space="preserve">           if (PADDR_CNT == 7'd122)</v>
      </c>
    </row>
    <row r="1412" spans="1:2" x14ac:dyDescent="0.3">
      <c r="B1412" t="str">
        <f>"               sr_paddr_dat["&amp;A1406&amp;"]  &lt;= sr_page_paddr_buf;"</f>
        <v xml:space="preserve">               sr_paddr_dat[122]  &lt;= sr_page_paddr_buf;</v>
      </c>
    </row>
    <row r="1413" spans="1:2" x14ac:dyDescent="0.3">
      <c r="B1413" t="s">
        <v>3</v>
      </c>
    </row>
    <row r="1414" spans="1:2" x14ac:dyDescent="0.3">
      <c r="B1414" t="str">
        <f>"               sr_paddr_dat["&amp;A1406&amp;"]  &lt;= sr_paddr_dat["&amp;A1406&amp;"];"</f>
        <v xml:space="preserve">               sr_paddr_dat[122]  &lt;= sr_paddr_dat[122];</v>
      </c>
    </row>
    <row r="1415" spans="1:2" x14ac:dyDescent="0.3">
      <c r="B1415" t="s">
        <v>4</v>
      </c>
    </row>
    <row r="1416" spans="1:2" x14ac:dyDescent="0.3">
      <c r="B1416" t="s">
        <v>5</v>
      </c>
    </row>
    <row r="1418" spans="1:2" x14ac:dyDescent="0.3">
      <c r="A1418">
        <f>A1406+1</f>
        <v>123</v>
      </c>
      <c r="B1418" t="str">
        <f>"    // Page Address Resister"&amp;A1418</f>
        <v xml:space="preserve">    // Page Address Resister123</v>
      </c>
    </row>
    <row r="1419" spans="1:2" x14ac:dyDescent="0.3">
      <c r="A1419" t="str">
        <f t="shared" ref="A1419" si="6">DEC2HEX(A1418)</f>
        <v>7B</v>
      </c>
      <c r="B1419" t="s">
        <v>0</v>
      </c>
    </row>
    <row r="1420" spans="1:2" x14ac:dyDescent="0.3">
      <c r="B1420" t="s">
        <v>1</v>
      </c>
    </row>
    <row r="1421" spans="1:2" x14ac:dyDescent="0.3">
      <c r="B1421" t="str">
        <f>"            sr_paddr_dat["&amp;A1418&amp;"]   &lt;= 24'h0;"</f>
        <v xml:space="preserve">            sr_paddr_dat[123]   &lt;= 24'h0;</v>
      </c>
    </row>
    <row r="1422" spans="1:2" x14ac:dyDescent="0.3">
      <c r="B1422" t="s">
        <v>2</v>
      </c>
    </row>
    <row r="1423" spans="1:2" x14ac:dyDescent="0.3">
      <c r="B1423" t="str">
        <f>"           if (PADDR_CNT == 7'd"&amp;A1418&amp;")"</f>
        <v xml:space="preserve">           if (PADDR_CNT == 7'd123)</v>
      </c>
    </row>
    <row r="1424" spans="1:2" x14ac:dyDescent="0.3">
      <c r="B1424" t="str">
        <f>"               sr_paddr_dat["&amp;A1418&amp;"]  &lt;= sr_page_paddr_buf;"</f>
        <v xml:space="preserve">               sr_paddr_dat[123]  &lt;= sr_page_paddr_buf;</v>
      </c>
    </row>
    <row r="1425" spans="1:2" x14ac:dyDescent="0.3">
      <c r="B1425" t="s">
        <v>3</v>
      </c>
    </row>
    <row r="1426" spans="1:2" x14ac:dyDescent="0.3">
      <c r="B1426" t="str">
        <f>"               sr_paddr_dat["&amp;A1418&amp;"]  &lt;= sr_paddr_dat["&amp;A1418&amp;"];"</f>
        <v xml:space="preserve">               sr_paddr_dat[123]  &lt;= sr_paddr_dat[123];</v>
      </c>
    </row>
    <row r="1427" spans="1:2" x14ac:dyDescent="0.3">
      <c r="B1427" t="s">
        <v>4</v>
      </c>
    </row>
    <row r="1428" spans="1:2" x14ac:dyDescent="0.3">
      <c r="B1428" t="s">
        <v>5</v>
      </c>
    </row>
    <row r="1430" spans="1:2" x14ac:dyDescent="0.3">
      <c r="A1430">
        <f>A1418+1</f>
        <v>124</v>
      </c>
      <c r="B1430" t="str">
        <f>"    // Page Address Resister"&amp;A1430</f>
        <v xml:space="preserve">    // Page Address Resister124</v>
      </c>
    </row>
    <row r="1431" spans="1:2" x14ac:dyDescent="0.3">
      <c r="A1431" t="str">
        <f t="shared" ref="A1431" si="7">DEC2HEX(A1430)</f>
        <v>7C</v>
      </c>
      <c r="B1431" t="s">
        <v>0</v>
      </c>
    </row>
    <row r="1432" spans="1:2" x14ac:dyDescent="0.3">
      <c r="B1432" t="s">
        <v>1</v>
      </c>
    </row>
    <row r="1433" spans="1:2" x14ac:dyDescent="0.3">
      <c r="B1433" t="str">
        <f>"            sr_paddr_dat["&amp;A1430&amp;"]   &lt;= 24'h0;"</f>
        <v xml:space="preserve">            sr_paddr_dat[124]   &lt;= 24'h0;</v>
      </c>
    </row>
    <row r="1434" spans="1:2" x14ac:dyDescent="0.3">
      <c r="B1434" t="s">
        <v>2</v>
      </c>
    </row>
    <row r="1435" spans="1:2" x14ac:dyDescent="0.3">
      <c r="B1435" t="str">
        <f>"           if (PADDR_CNT == 7'd"&amp;A1430&amp;")"</f>
        <v xml:space="preserve">           if (PADDR_CNT == 7'd124)</v>
      </c>
    </row>
    <row r="1436" spans="1:2" x14ac:dyDescent="0.3">
      <c r="B1436" t="str">
        <f>"               sr_paddr_dat["&amp;A1430&amp;"]  &lt;= sr_page_paddr_buf;"</f>
        <v xml:space="preserve">               sr_paddr_dat[124]  &lt;= sr_page_paddr_buf;</v>
      </c>
    </row>
    <row r="1437" spans="1:2" x14ac:dyDescent="0.3">
      <c r="B1437" t="s">
        <v>3</v>
      </c>
    </row>
    <row r="1438" spans="1:2" x14ac:dyDescent="0.3">
      <c r="B1438" t="str">
        <f>"               sr_paddr_dat["&amp;A1430&amp;"]  &lt;= sr_paddr_dat["&amp;A1430&amp;"];"</f>
        <v xml:space="preserve">               sr_paddr_dat[124]  &lt;= sr_paddr_dat[124];</v>
      </c>
    </row>
    <row r="1439" spans="1:2" x14ac:dyDescent="0.3">
      <c r="B1439" t="s">
        <v>4</v>
      </c>
    </row>
    <row r="1440" spans="1:2" x14ac:dyDescent="0.3">
      <c r="B1440" t="s">
        <v>5</v>
      </c>
    </row>
    <row r="1442" spans="1:2" x14ac:dyDescent="0.3">
      <c r="A1442">
        <f>A1430+1</f>
        <v>125</v>
      </c>
      <c r="B1442" t="str">
        <f>"    // Page Address Resister"&amp;A1442</f>
        <v xml:space="preserve">    // Page Address Resister125</v>
      </c>
    </row>
    <row r="1443" spans="1:2" x14ac:dyDescent="0.3">
      <c r="A1443" t="str">
        <f t="shared" ref="A1443" si="8">DEC2HEX(A1442)</f>
        <v>7D</v>
      </c>
      <c r="B1443" t="s">
        <v>0</v>
      </c>
    </row>
    <row r="1444" spans="1:2" x14ac:dyDescent="0.3">
      <c r="B1444" t="s">
        <v>1</v>
      </c>
    </row>
    <row r="1445" spans="1:2" x14ac:dyDescent="0.3">
      <c r="B1445" t="str">
        <f>"            sr_paddr_dat["&amp;A1442&amp;"]   &lt;= 24'h0;"</f>
        <v xml:space="preserve">            sr_paddr_dat[125]   &lt;= 24'h0;</v>
      </c>
    </row>
    <row r="1446" spans="1:2" x14ac:dyDescent="0.3">
      <c r="B1446" t="s">
        <v>2</v>
      </c>
    </row>
    <row r="1447" spans="1:2" x14ac:dyDescent="0.3">
      <c r="B1447" t="str">
        <f>"           if (PADDR_CNT == 7'd"&amp;A1442&amp;")"</f>
        <v xml:space="preserve">           if (PADDR_CNT == 7'd125)</v>
      </c>
    </row>
    <row r="1448" spans="1:2" x14ac:dyDescent="0.3">
      <c r="B1448" t="str">
        <f>"               sr_paddr_dat["&amp;A1442&amp;"]  &lt;= sr_page_paddr_buf;"</f>
        <v xml:space="preserve">               sr_paddr_dat[125]  &lt;= sr_page_paddr_buf;</v>
      </c>
    </row>
    <row r="1449" spans="1:2" x14ac:dyDescent="0.3">
      <c r="B1449" t="s">
        <v>3</v>
      </c>
    </row>
    <row r="1450" spans="1:2" x14ac:dyDescent="0.3">
      <c r="B1450" t="str">
        <f>"               sr_paddr_dat["&amp;A1442&amp;"]  &lt;= sr_paddr_dat["&amp;A1442&amp;"];"</f>
        <v xml:space="preserve">               sr_paddr_dat[125]  &lt;= sr_paddr_dat[125];</v>
      </c>
    </row>
    <row r="1451" spans="1:2" x14ac:dyDescent="0.3">
      <c r="B1451" t="s">
        <v>4</v>
      </c>
    </row>
    <row r="1452" spans="1:2" x14ac:dyDescent="0.3">
      <c r="B1452" t="s">
        <v>5</v>
      </c>
    </row>
    <row r="1454" spans="1:2" x14ac:dyDescent="0.3">
      <c r="A1454">
        <f>A1442+1</f>
        <v>126</v>
      </c>
      <c r="B1454" t="str">
        <f>"    // Page Address Resister"&amp;A1454</f>
        <v xml:space="preserve">    // Page Address Resister126</v>
      </c>
    </row>
    <row r="1455" spans="1:2" x14ac:dyDescent="0.3">
      <c r="A1455" t="str">
        <f>DEC2HEX(A1454)</f>
        <v>7E</v>
      </c>
      <c r="B1455" t="s">
        <v>0</v>
      </c>
    </row>
    <row r="1456" spans="1:2" x14ac:dyDescent="0.3">
      <c r="B1456" t="s">
        <v>1</v>
      </c>
    </row>
    <row r="1457" spans="1:2" x14ac:dyDescent="0.3">
      <c r="B1457" t="str">
        <f>"            sr_paddr_dat["&amp;A1454&amp;"]   &lt;= 24'h0;"</f>
        <v xml:space="preserve">            sr_paddr_dat[126]   &lt;= 24'h0;</v>
      </c>
    </row>
    <row r="1458" spans="1:2" x14ac:dyDescent="0.3">
      <c r="B1458" t="s">
        <v>2</v>
      </c>
    </row>
    <row r="1459" spans="1:2" x14ac:dyDescent="0.3">
      <c r="B1459" t="str">
        <f>"           if (PADDR_CNT == 7'd"&amp;A1454&amp;")"</f>
        <v xml:space="preserve">           if (PADDR_CNT == 7'd126)</v>
      </c>
    </row>
    <row r="1460" spans="1:2" x14ac:dyDescent="0.3">
      <c r="B1460" t="str">
        <f>"               sr_paddr_dat["&amp;A1454&amp;"]  &lt;= sr_page_paddr_buf;"</f>
        <v xml:space="preserve">               sr_paddr_dat[126]  &lt;= sr_page_paddr_buf;</v>
      </c>
    </row>
    <row r="1461" spans="1:2" x14ac:dyDescent="0.3">
      <c r="B1461" t="s">
        <v>3</v>
      </c>
    </row>
    <row r="1462" spans="1:2" x14ac:dyDescent="0.3">
      <c r="B1462" t="str">
        <f>"               sr_paddr_dat["&amp;A1454&amp;"]  &lt;= sr_paddr_dat["&amp;A1454&amp;"];"</f>
        <v xml:space="preserve">               sr_paddr_dat[126]  &lt;= sr_paddr_dat[126];</v>
      </c>
    </row>
    <row r="1463" spans="1:2" x14ac:dyDescent="0.3">
      <c r="B1463" t="s">
        <v>4</v>
      </c>
    </row>
    <row r="1464" spans="1:2" x14ac:dyDescent="0.3">
      <c r="B1464" t="s">
        <v>5</v>
      </c>
    </row>
    <row r="1466" spans="1:2" x14ac:dyDescent="0.3">
      <c r="A1466">
        <f>A1454+1</f>
        <v>127</v>
      </c>
      <c r="B1466" t="str">
        <f>"    // Page Address Resister"&amp;A1466</f>
        <v xml:space="preserve">    // Page Address Resister127</v>
      </c>
    </row>
    <row r="1467" spans="1:2" x14ac:dyDescent="0.3">
      <c r="A1467" t="str">
        <f>DEC2HEX(A1466)</f>
        <v>7F</v>
      </c>
      <c r="B1467" t="s">
        <v>0</v>
      </c>
    </row>
    <row r="1468" spans="1:2" x14ac:dyDescent="0.3">
      <c r="B1468" t="s">
        <v>1</v>
      </c>
    </row>
    <row r="1469" spans="1:2" x14ac:dyDescent="0.3">
      <c r="B1469" t="str">
        <f>"            sr_paddr_dat["&amp;A1466&amp;"]   &lt;= 24'h0;"</f>
        <v xml:space="preserve">            sr_paddr_dat[127]   &lt;= 24'h0;</v>
      </c>
    </row>
    <row r="1470" spans="1:2" x14ac:dyDescent="0.3">
      <c r="B1470" t="s">
        <v>2</v>
      </c>
    </row>
    <row r="1471" spans="1:2" x14ac:dyDescent="0.3">
      <c r="B1471" t="str">
        <f>"           if (PADDR_CNT == 7'd"&amp;A1466&amp;")"</f>
        <v xml:space="preserve">           if (PADDR_CNT == 7'd127)</v>
      </c>
    </row>
    <row r="1472" spans="1:2" x14ac:dyDescent="0.3">
      <c r="B1472" t="str">
        <f>"               sr_paddr_dat["&amp;A1466&amp;"]  &lt;= sr_page_paddr_buf;"</f>
        <v xml:space="preserve">               sr_paddr_dat[127]  &lt;= sr_page_paddr_buf;</v>
      </c>
    </row>
    <row r="1473" spans="1:2" x14ac:dyDescent="0.3">
      <c r="B1473" t="s">
        <v>3</v>
      </c>
    </row>
    <row r="1474" spans="1:2" x14ac:dyDescent="0.3">
      <c r="B1474" t="str">
        <f>"               sr_paddr_dat["&amp;A1466&amp;"]  &lt;= sr_paddr_dat["&amp;A1466&amp;"];"</f>
        <v xml:space="preserve">               sr_paddr_dat[127]  &lt;= sr_paddr_dat[127];</v>
      </c>
    </row>
    <row r="1475" spans="1:2" x14ac:dyDescent="0.3">
      <c r="B1475" t="s">
        <v>4</v>
      </c>
    </row>
    <row r="1476" spans="1:2" x14ac:dyDescent="0.3">
      <c r="B1476" t="s">
        <v>5</v>
      </c>
    </row>
    <row r="1478" spans="1:2" x14ac:dyDescent="0.3">
      <c r="A1478">
        <f>A1466+1</f>
        <v>128</v>
      </c>
      <c r="B1478" t="str">
        <f>"    // Page Address Resister"&amp;A1478</f>
        <v xml:space="preserve">    // Page Address Resister128</v>
      </c>
    </row>
    <row r="1479" spans="1:2" x14ac:dyDescent="0.3">
      <c r="A1479" t="str">
        <f>DEC2HEX(A1478)</f>
        <v>80</v>
      </c>
      <c r="B1479" t="s">
        <v>0</v>
      </c>
    </row>
    <row r="1480" spans="1:2" x14ac:dyDescent="0.3">
      <c r="B1480" t="s">
        <v>1</v>
      </c>
    </row>
    <row r="1481" spans="1:2" x14ac:dyDescent="0.3">
      <c r="B1481" t="str">
        <f>"            sr_paddr_dat["&amp;A1478&amp;"]   &lt;= 24'h0;"</f>
        <v xml:space="preserve">            sr_paddr_dat[128]   &lt;= 24'h0;</v>
      </c>
    </row>
    <row r="1482" spans="1:2" x14ac:dyDescent="0.3">
      <c r="B1482" t="s">
        <v>2</v>
      </c>
    </row>
    <row r="1483" spans="1:2" x14ac:dyDescent="0.3">
      <c r="B1483" t="str">
        <f>"           if (PADDR_CNT == 7'd"&amp;A1478&amp;")"</f>
        <v xml:space="preserve">           if (PADDR_CNT == 7'd128)</v>
      </c>
    </row>
    <row r="1484" spans="1:2" x14ac:dyDescent="0.3">
      <c r="B1484" t="str">
        <f>"               sr_paddr_dat["&amp;A1478&amp;"]  &lt;= sr_page_paddr_buf;"</f>
        <v xml:space="preserve">               sr_paddr_dat[128]  &lt;= sr_page_paddr_buf;</v>
      </c>
    </row>
    <row r="1485" spans="1:2" x14ac:dyDescent="0.3">
      <c r="B1485" t="s">
        <v>3</v>
      </c>
    </row>
    <row r="1486" spans="1:2" x14ac:dyDescent="0.3">
      <c r="B1486" t="str">
        <f>"               sr_paddr_dat["&amp;A1478&amp;"]  &lt;= sr_paddr_dat["&amp;A1478&amp;"];"</f>
        <v xml:space="preserve">               sr_paddr_dat[128]  &lt;= sr_paddr_dat[128];</v>
      </c>
    </row>
    <row r="1487" spans="1:2" x14ac:dyDescent="0.3">
      <c r="B1487" t="s">
        <v>4</v>
      </c>
    </row>
    <row r="1488" spans="1:2" x14ac:dyDescent="0.3">
      <c r="B1488" t="s">
        <v>5</v>
      </c>
    </row>
    <row r="1490" spans="1:2" x14ac:dyDescent="0.3">
      <c r="A1490">
        <f>A1478+1</f>
        <v>129</v>
      </c>
      <c r="B1490" t="str">
        <f>"    // Page Address Resister"&amp;A1490</f>
        <v xml:space="preserve">    // Page Address Resister129</v>
      </c>
    </row>
    <row r="1491" spans="1:2" x14ac:dyDescent="0.3">
      <c r="A1491" t="str">
        <f>DEC2HEX(A1490)</f>
        <v>81</v>
      </c>
      <c r="B1491" t="s">
        <v>0</v>
      </c>
    </row>
    <row r="1492" spans="1:2" x14ac:dyDescent="0.3">
      <c r="B1492" t="s">
        <v>1</v>
      </c>
    </row>
    <row r="1493" spans="1:2" x14ac:dyDescent="0.3">
      <c r="B1493" t="str">
        <f>"            sr_paddr_dat["&amp;A1490&amp;"]   &lt;= 24'h0;"</f>
        <v xml:space="preserve">            sr_paddr_dat[129]   &lt;= 24'h0;</v>
      </c>
    </row>
    <row r="1494" spans="1:2" x14ac:dyDescent="0.3">
      <c r="B1494" t="s">
        <v>2</v>
      </c>
    </row>
    <row r="1495" spans="1:2" x14ac:dyDescent="0.3">
      <c r="B1495" t="str">
        <f>"           if (PADDR_CNT == 7'd"&amp;A1490&amp;")"</f>
        <v xml:space="preserve">           if (PADDR_CNT == 7'd129)</v>
      </c>
    </row>
    <row r="1496" spans="1:2" x14ac:dyDescent="0.3">
      <c r="B1496" t="str">
        <f>"               sr_paddr_dat["&amp;A1490&amp;"]  &lt;= sr_page_paddr_buf;"</f>
        <v xml:space="preserve">               sr_paddr_dat[129]  &lt;= sr_page_paddr_buf;</v>
      </c>
    </row>
    <row r="1497" spans="1:2" x14ac:dyDescent="0.3">
      <c r="B1497" t="s">
        <v>3</v>
      </c>
    </row>
    <row r="1498" spans="1:2" x14ac:dyDescent="0.3">
      <c r="B1498" t="str">
        <f>"               sr_paddr_dat["&amp;A1490&amp;"]  &lt;= sr_paddr_dat["&amp;A1490&amp;"];"</f>
        <v xml:space="preserve">               sr_paddr_dat[129]  &lt;= sr_paddr_dat[129];</v>
      </c>
    </row>
    <row r="1499" spans="1:2" x14ac:dyDescent="0.3">
      <c r="B1499" t="s">
        <v>4</v>
      </c>
    </row>
    <row r="1500" spans="1:2" x14ac:dyDescent="0.3">
      <c r="B1500" t="s">
        <v>5</v>
      </c>
    </row>
    <row r="1502" spans="1:2" x14ac:dyDescent="0.3">
      <c r="A1502">
        <f>A1490+1</f>
        <v>130</v>
      </c>
      <c r="B1502" t="str">
        <f>"    // Page Address Resister"&amp;A1502</f>
        <v xml:space="preserve">    // Page Address Resister130</v>
      </c>
    </row>
    <row r="1503" spans="1:2" x14ac:dyDescent="0.3">
      <c r="A1503" t="str">
        <f>DEC2HEX(A1502)</f>
        <v>82</v>
      </c>
      <c r="B1503" t="s">
        <v>0</v>
      </c>
    </row>
    <row r="1504" spans="1:2" x14ac:dyDescent="0.3">
      <c r="B1504" t="s">
        <v>1</v>
      </c>
    </row>
    <row r="1505" spans="1:2" x14ac:dyDescent="0.3">
      <c r="B1505" t="str">
        <f>"            sr_paddr_dat["&amp;A1502&amp;"]   &lt;= 24'h0;"</f>
        <v xml:space="preserve">            sr_paddr_dat[130]   &lt;= 24'h0;</v>
      </c>
    </row>
    <row r="1506" spans="1:2" x14ac:dyDescent="0.3">
      <c r="B1506" t="s">
        <v>2</v>
      </c>
    </row>
    <row r="1507" spans="1:2" x14ac:dyDescent="0.3">
      <c r="B1507" t="str">
        <f>"           if (PADDR_CNT == 7'd"&amp;A1502&amp;")"</f>
        <v xml:space="preserve">           if (PADDR_CNT == 7'd130)</v>
      </c>
    </row>
    <row r="1508" spans="1:2" x14ac:dyDescent="0.3">
      <c r="B1508" t="str">
        <f>"               sr_paddr_dat["&amp;A1502&amp;"]  &lt;= sr_page_paddr_buf;"</f>
        <v xml:space="preserve">               sr_paddr_dat[130]  &lt;= sr_page_paddr_buf;</v>
      </c>
    </row>
    <row r="1509" spans="1:2" x14ac:dyDescent="0.3">
      <c r="B1509" t="s">
        <v>3</v>
      </c>
    </row>
    <row r="1510" spans="1:2" x14ac:dyDescent="0.3">
      <c r="B1510" t="str">
        <f>"               sr_paddr_dat["&amp;A1502&amp;"]  &lt;= sr_paddr_dat["&amp;A1502&amp;"];"</f>
        <v xml:space="preserve">               sr_paddr_dat[130]  &lt;= sr_paddr_dat[130];</v>
      </c>
    </row>
    <row r="1511" spans="1:2" x14ac:dyDescent="0.3">
      <c r="B1511" t="s">
        <v>4</v>
      </c>
    </row>
    <row r="1512" spans="1:2" x14ac:dyDescent="0.3">
      <c r="B1512" t="s">
        <v>5</v>
      </c>
    </row>
    <row r="1514" spans="1:2" x14ac:dyDescent="0.3">
      <c r="A1514">
        <f>A1502+1</f>
        <v>131</v>
      </c>
      <c r="B1514" t="str">
        <f>"    // Page Address Resister"&amp;A1514</f>
        <v xml:space="preserve">    // Page Address Resister131</v>
      </c>
    </row>
    <row r="1515" spans="1:2" x14ac:dyDescent="0.3">
      <c r="A1515" t="str">
        <f>DEC2HEX(A1514)</f>
        <v>83</v>
      </c>
      <c r="B1515" t="s">
        <v>0</v>
      </c>
    </row>
    <row r="1516" spans="1:2" x14ac:dyDescent="0.3">
      <c r="B1516" t="s">
        <v>1</v>
      </c>
    </row>
    <row r="1517" spans="1:2" x14ac:dyDescent="0.3">
      <c r="B1517" t="str">
        <f>"            sr_paddr_dat["&amp;A1514&amp;"]   &lt;= 24'h0;"</f>
        <v xml:space="preserve">            sr_paddr_dat[131]   &lt;= 24'h0;</v>
      </c>
    </row>
    <row r="1518" spans="1:2" x14ac:dyDescent="0.3">
      <c r="B1518" t="s">
        <v>2</v>
      </c>
    </row>
    <row r="1519" spans="1:2" x14ac:dyDescent="0.3">
      <c r="B1519" t="str">
        <f>"           if (PADDR_CNT == 7'd"&amp;A1514&amp;")"</f>
        <v xml:space="preserve">           if (PADDR_CNT == 7'd131)</v>
      </c>
    </row>
    <row r="1520" spans="1:2" x14ac:dyDescent="0.3">
      <c r="B1520" t="str">
        <f>"               sr_paddr_dat["&amp;A1514&amp;"]  &lt;= sr_page_paddr_buf;"</f>
        <v xml:space="preserve">               sr_paddr_dat[131]  &lt;= sr_page_paddr_buf;</v>
      </c>
    </row>
    <row r="1521" spans="1:2" x14ac:dyDescent="0.3">
      <c r="B1521" t="s">
        <v>3</v>
      </c>
    </row>
    <row r="1522" spans="1:2" x14ac:dyDescent="0.3">
      <c r="B1522" t="str">
        <f>"               sr_paddr_dat["&amp;A1514&amp;"]  &lt;= sr_paddr_dat["&amp;A1514&amp;"];"</f>
        <v xml:space="preserve">               sr_paddr_dat[131]  &lt;= sr_paddr_dat[131];</v>
      </c>
    </row>
    <row r="1523" spans="1:2" x14ac:dyDescent="0.3">
      <c r="B1523" t="s">
        <v>4</v>
      </c>
    </row>
    <row r="1524" spans="1:2" x14ac:dyDescent="0.3">
      <c r="B1524" t="s">
        <v>5</v>
      </c>
    </row>
    <row r="1526" spans="1:2" x14ac:dyDescent="0.3">
      <c r="A1526">
        <f>A1514+1</f>
        <v>132</v>
      </c>
      <c r="B1526" t="str">
        <f>"    // Page Address Resister"&amp;A1526</f>
        <v xml:space="preserve">    // Page Address Resister132</v>
      </c>
    </row>
    <row r="1527" spans="1:2" x14ac:dyDescent="0.3">
      <c r="A1527" t="str">
        <f>DEC2HEX(A1526)</f>
        <v>84</v>
      </c>
      <c r="B1527" t="s">
        <v>0</v>
      </c>
    </row>
    <row r="1528" spans="1:2" x14ac:dyDescent="0.3">
      <c r="B1528" t="s">
        <v>1</v>
      </c>
    </row>
    <row r="1529" spans="1:2" x14ac:dyDescent="0.3">
      <c r="B1529" t="str">
        <f>"            sr_paddr_dat["&amp;A1526&amp;"]   &lt;= 24'h0;"</f>
        <v xml:space="preserve">            sr_paddr_dat[132]   &lt;= 24'h0;</v>
      </c>
    </row>
    <row r="1530" spans="1:2" x14ac:dyDescent="0.3">
      <c r="B1530" t="s">
        <v>2</v>
      </c>
    </row>
    <row r="1531" spans="1:2" x14ac:dyDescent="0.3">
      <c r="B1531" t="str">
        <f>"           if (PADDR_CNT == 7'd"&amp;A1526&amp;")"</f>
        <v xml:space="preserve">           if (PADDR_CNT == 7'd132)</v>
      </c>
    </row>
    <row r="1532" spans="1:2" x14ac:dyDescent="0.3">
      <c r="B1532" t="str">
        <f>"               sr_paddr_dat["&amp;A1526&amp;"]  &lt;= sr_page_paddr_buf;"</f>
        <v xml:space="preserve">               sr_paddr_dat[132]  &lt;= sr_page_paddr_buf;</v>
      </c>
    </row>
    <row r="1533" spans="1:2" x14ac:dyDescent="0.3">
      <c r="B1533" t="s">
        <v>3</v>
      </c>
    </row>
    <row r="1534" spans="1:2" x14ac:dyDescent="0.3">
      <c r="B1534" t="str">
        <f>"               sr_paddr_dat["&amp;A1526&amp;"]  &lt;= sr_paddr_dat["&amp;A1526&amp;"];"</f>
        <v xml:space="preserve">               sr_paddr_dat[132]  &lt;= sr_paddr_dat[132];</v>
      </c>
    </row>
    <row r="1535" spans="1:2" x14ac:dyDescent="0.3">
      <c r="B1535" t="s">
        <v>4</v>
      </c>
    </row>
    <row r="1536" spans="1:2" x14ac:dyDescent="0.3">
      <c r="B1536" t="s">
        <v>5</v>
      </c>
    </row>
    <row r="1538" spans="1:2" x14ac:dyDescent="0.3">
      <c r="A1538">
        <f>A1526+1</f>
        <v>133</v>
      </c>
      <c r="B1538" t="str">
        <f>"    // Page Address Resister"&amp;A1538</f>
        <v xml:space="preserve">    // Page Address Resister133</v>
      </c>
    </row>
    <row r="1539" spans="1:2" x14ac:dyDescent="0.3">
      <c r="A1539" t="str">
        <f>DEC2HEX(A1538)</f>
        <v>85</v>
      </c>
      <c r="B1539" t="s">
        <v>0</v>
      </c>
    </row>
    <row r="1540" spans="1:2" x14ac:dyDescent="0.3">
      <c r="B1540" t="s">
        <v>1</v>
      </c>
    </row>
    <row r="1541" spans="1:2" x14ac:dyDescent="0.3">
      <c r="B1541" t="str">
        <f>"            sr_paddr_dat["&amp;A1538&amp;"]   &lt;= 24'h0;"</f>
        <v xml:space="preserve">            sr_paddr_dat[133]   &lt;= 24'h0;</v>
      </c>
    </row>
    <row r="1542" spans="1:2" x14ac:dyDescent="0.3">
      <c r="B1542" t="s">
        <v>2</v>
      </c>
    </row>
    <row r="1543" spans="1:2" x14ac:dyDescent="0.3">
      <c r="B1543" t="str">
        <f>"           if (PADDR_CNT == 7'd"&amp;A1538&amp;")"</f>
        <v xml:space="preserve">           if (PADDR_CNT == 7'd133)</v>
      </c>
    </row>
    <row r="1544" spans="1:2" x14ac:dyDescent="0.3">
      <c r="B1544" t="str">
        <f>"               sr_paddr_dat["&amp;A1538&amp;"]  &lt;= sr_page_paddr_buf;"</f>
        <v xml:space="preserve">               sr_paddr_dat[133]  &lt;= sr_page_paddr_buf;</v>
      </c>
    </row>
    <row r="1545" spans="1:2" x14ac:dyDescent="0.3">
      <c r="B1545" t="s">
        <v>3</v>
      </c>
    </row>
    <row r="1546" spans="1:2" x14ac:dyDescent="0.3">
      <c r="B1546" t="str">
        <f>"               sr_paddr_dat["&amp;A1538&amp;"]  &lt;= sr_paddr_dat["&amp;A1538&amp;"];"</f>
        <v xml:space="preserve">               sr_paddr_dat[133]  &lt;= sr_paddr_dat[133];</v>
      </c>
    </row>
    <row r="1547" spans="1:2" x14ac:dyDescent="0.3">
      <c r="B1547" t="s">
        <v>4</v>
      </c>
    </row>
    <row r="1548" spans="1:2" x14ac:dyDescent="0.3">
      <c r="B1548" t="s">
        <v>5</v>
      </c>
    </row>
    <row r="1550" spans="1:2" x14ac:dyDescent="0.3">
      <c r="A1550">
        <f>A1538+1</f>
        <v>134</v>
      </c>
      <c r="B1550" t="str">
        <f>"    // Page Address Resister"&amp;A1550</f>
        <v xml:space="preserve">    // Page Address Resister134</v>
      </c>
    </row>
    <row r="1551" spans="1:2" x14ac:dyDescent="0.3">
      <c r="A1551" t="str">
        <f>DEC2HEX(A1550)</f>
        <v>86</v>
      </c>
      <c r="B1551" t="s">
        <v>0</v>
      </c>
    </row>
    <row r="1552" spans="1:2" x14ac:dyDescent="0.3">
      <c r="B1552" t="s">
        <v>1</v>
      </c>
    </row>
    <row r="1553" spans="1:2" x14ac:dyDescent="0.3">
      <c r="B1553" t="str">
        <f>"            sr_paddr_dat["&amp;A1550&amp;"]   &lt;= 24'h0;"</f>
        <v xml:space="preserve">            sr_paddr_dat[134]   &lt;= 24'h0;</v>
      </c>
    </row>
    <row r="1554" spans="1:2" x14ac:dyDescent="0.3">
      <c r="B1554" t="s">
        <v>2</v>
      </c>
    </row>
    <row r="1555" spans="1:2" x14ac:dyDescent="0.3">
      <c r="B1555" t="str">
        <f>"           if (PADDR_CNT == 7'd"&amp;A1550&amp;")"</f>
        <v xml:space="preserve">           if (PADDR_CNT == 7'd134)</v>
      </c>
    </row>
    <row r="1556" spans="1:2" x14ac:dyDescent="0.3">
      <c r="B1556" t="str">
        <f>"               sr_paddr_dat["&amp;A1550&amp;"]  &lt;= sr_page_paddr_buf;"</f>
        <v xml:space="preserve">               sr_paddr_dat[134]  &lt;= sr_page_paddr_buf;</v>
      </c>
    </row>
    <row r="1557" spans="1:2" x14ac:dyDescent="0.3">
      <c r="B1557" t="s">
        <v>3</v>
      </c>
    </row>
    <row r="1558" spans="1:2" x14ac:dyDescent="0.3">
      <c r="B1558" t="str">
        <f>"               sr_paddr_dat["&amp;A1550&amp;"]  &lt;= sr_paddr_dat["&amp;A1550&amp;"];"</f>
        <v xml:space="preserve">               sr_paddr_dat[134]  &lt;= sr_paddr_dat[134];</v>
      </c>
    </row>
    <row r="1559" spans="1:2" x14ac:dyDescent="0.3">
      <c r="B1559" t="s">
        <v>4</v>
      </c>
    </row>
    <row r="1560" spans="1:2" x14ac:dyDescent="0.3">
      <c r="B1560" t="s">
        <v>5</v>
      </c>
    </row>
    <row r="1562" spans="1:2" x14ac:dyDescent="0.3">
      <c r="A1562">
        <f>A1550+1</f>
        <v>135</v>
      </c>
      <c r="B1562" t="str">
        <f>"    // Page Address Resister"&amp;A1562</f>
        <v xml:space="preserve">    // Page Address Resister135</v>
      </c>
    </row>
    <row r="1563" spans="1:2" x14ac:dyDescent="0.3">
      <c r="A1563" t="str">
        <f>DEC2HEX(A1562)</f>
        <v>87</v>
      </c>
      <c r="B1563" t="s">
        <v>0</v>
      </c>
    </row>
    <row r="1564" spans="1:2" x14ac:dyDescent="0.3">
      <c r="B1564" t="s">
        <v>1</v>
      </c>
    </row>
    <row r="1565" spans="1:2" x14ac:dyDescent="0.3">
      <c r="B1565" t="str">
        <f>"            sr_paddr_dat["&amp;A1562&amp;"]   &lt;= 24'h0;"</f>
        <v xml:space="preserve">            sr_paddr_dat[135]   &lt;= 24'h0;</v>
      </c>
    </row>
    <row r="1566" spans="1:2" x14ac:dyDescent="0.3">
      <c r="B1566" t="s">
        <v>2</v>
      </c>
    </row>
    <row r="1567" spans="1:2" x14ac:dyDescent="0.3">
      <c r="B1567" t="str">
        <f>"           if (PADDR_CNT == 7'd"&amp;A1562&amp;")"</f>
        <v xml:space="preserve">           if (PADDR_CNT == 7'd135)</v>
      </c>
    </row>
    <row r="1568" spans="1:2" x14ac:dyDescent="0.3">
      <c r="B1568" t="str">
        <f>"               sr_paddr_dat["&amp;A1562&amp;"]  &lt;= sr_page_paddr_buf;"</f>
        <v xml:space="preserve">               sr_paddr_dat[135]  &lt;= sr_page_paddr_buf;</v>
      </c>
    </row>
    <row r="1569" spans="1:2" x14ac:dyDescent="0.3">
      <c r="B1569" t="s">
        <v>3</v>
      </c>
    </row>
    <row r="1570" spans="1:2" x14ac:dyDescent="0.3">
      <c r="B1570" t="str">
        <f>"               sr_paddr_dat["&amp;A1562&amp;"]  &lt;= sr_paddr_dat["&amp;A1562&amp;"];"</f>
        <v xml:space="preserve">               sr_paddr_dat[135]  &lt;= sr_paddr_dat[135];</v>
      </c>
    </row>
    <row r="1571" spans="1:2" x14ac:dyDescent="0.3">
      <c r="B1571" t="s">
        <v>4</v>
      </c>
    </row>
    <row r="1572" spans="1:2" x14ac:dyDescent="0.3">
      <c r="B1572" t="s">
        <v>5</v>
      </c>
    </row>
    <row r="1574" spans="1:2" x14ac:dyDescent="0.3">
      <c r="A1574">
        <f>A1562+1</f>
        <v>136</v>
      </c>
      <c r="B1574" t="str">
        <f>"    // Page Address Resister"&amp;A1574</f>
        <v xml:space="preserve">    // Page Address Resister136</v>
      </c>
    </row>
    <row r="1575" spans="1:2" x14ac:dyDescent="0.3">
      <c r="A1575" t="str">
        <f>DEC2HEX(A1574)</f>
        <v>88</v>
      </c>
      <c r="B1575" t="s">
        <v>0</v>
      </c>
    </row>
    <row r="1576" spans="1:2" x14ac:dyDescent="0.3">
      <c r="B1576" t="s">
        <v>1</v>
      </c>
    </row>
    <row r="1577" spans="1:2" x14ac:dyDescent="0.3">
      <c r="B1577" t="str">
        <f>"            sr_paddr_dat["&amp;A1574&amp;"]   &lt;= 24'h0;"</f>
        <v xml:space="preserve">            sr_paddr_dat[136]   &lt;= 24'h0;</v>
      </c>
    </row>
    <row r="1578" spans="1:2" x14ac:dyDescent="0.3">
      <c r="B1578" t="s">
        <v>2</v>
      </c>
    </row>
    <row r="1579" spans="1:2" x14ac:dyDescent="0.3">
      <c r="B1579" t="str">
        <f>"           if (PADDR_CNT == 7'd"&amp;A1574&amp;")"</f>
        <v xml:space="preserve">           if (PADDR_CNT == 7'd136)</v>
      </c>
    </row>
    <row r="1580" spans="1:2" x14ac:dyDescent="0.3">
      <c r="B1580" t="str">
        <f>"               sr_paddr_dat["&amp;A1574&amp;"]  &lt;= sr_page_paddr_buf;"</f>
        <v xml:space="preserve">               sr_paddr_dat[136]  &lt;= sr_page_paddr_buf;</v>
      </c>
    </row>
    <row r="1581" spans="1:2" x14ac:dyDescent="0.3">
      <c r="B1581" t="s">
        <v>3</v>
      </c>
    </row>
    <row r="1582" spans="1:2" x14ac:dyDescent="0.3">
      <c r="B1582" t="str">
        <f>"               sr_paddr_dat["&amp;A1574&amp;"]  &lt;= sr_paddr_dat["&amp;A1574&amp;"];"</f>
        <v xml:space="preserve">               sr_paddr_dat[136]  &lt;= sr_paddr_dat[136];</v>
      </c>
    </row>
    <row r="1583" spans="1:2" x14ac:dyDescent="0.3">
      <c r="B1583" t="s">
        <v>4</v>
      </c>
    </row>
    <row r="1584" spans="1:2" x14ac:dyDescent="0.3">
      <c r="B1584" t="s">
        <v>5</v>
      </c>
    </row>
    <row r="1586" spans="1:2" x14ac:dyDescent="0.3">
      <c r="A1586">
        <f>A1574+1</f>
        <v>137</v>
      </c>
      <c r="B1586" t="str">
        <f>"    // Page Address Resister"&amp;A1586</f>
        <v xml:space="preserve">    // Page Address Resister137</v>
      </c>
    </row>
    <row r="1587" spans="1:2" x14ac:dyDescent="0.3">
      <c r="A1587" t="str">
        <f>DEC2HEX(A1586)</f>
        <v>89</v>
      </c>
      <c r="B1587" t="s">
        <v>0</v>
      </c>
    </row>
    <row r="1588" spans="1:2" x14ac:dyDescent="0.3">
      <c r="B1588" t="s">
        <v>1</v>
      </c>
    </row>
    <row r="1589" spans="1:2" x14ac:dyDescent="0.3">
      <c r="B1589" t="str">
        <f>"            sr_paddr_dat["&amp;A1586&amp;"]   &lt;= 24'h0;"</f>
        <v xml:space="preserve">            sr_paddr_dat[137]   &lt;= 24'h0;</v>
      </c>
    </row>
    <row r="1590" spans="1:2" x14ac:dyDescent="0.3">
      <c r="B1590" t="s">
        <v>2</v>
      </c>
    </row>
    <row r="1591" spans="1:2" x14ac:dyDescent="0.3">
      <c r="B1591" t="str">
        <f>"           if (PADDR_CNT == 7'd"&amp;A1586&amp;")"</f>
        <v xml:space="preserve">           if (PADDR_CNT == 7'd137)</v>
      </c>
    </row>
    <row r="1592" spans="1:2" x14ac:dyDescent="0.3">
      <c r="B1592" t="str">
        <f>"               sr_paddr_dat["&amp;A1586&amp;"]  &lt;= sr_page_paddr_buf;"</f>
        <v xml:space="preserve">               sr_paddr_dat[137]  &lt;= sr_page_paddr_buf;</v>
      </c>
    </row>
    <row r="1593" spans="1:2" x14ac:dyDescent="0.3">
      <c r="B1593" t="s">
        <v>3</v>
      </c>
    </row>
    <row r="1594" spans="1:2" x14ac:dyDescent="0.3">
      <c r="B1594" t="str">
        <f>"               sr_paddr_dat["&amp;A1586&amp;"]  &lt;= sr_paddr_dat["&amp;A1586&amp;"];"</f>
        <v xml:space="preserve">               sr_paddr_dat[137]  &lt;= sr_paddr_dat[137];</v>
      </c>
    </row>
    <row r="1595" spans="1:2" x14ac:dyDescent="0.3">
      <c r="B1595" t="s">
        <v>4</v>
      </c>
    </row>
    <row r="1596" spans="1:2" x14ac:dyDescent="0.3">
      <c r="B1596" t="s">
        <v>5</v>
      </c>
    </row>
    <row r="1598" spans="1:2" x14ac:dyDescent="0.3">
      <c r="A1598">
        <f>A1586+1</f>
        <v>138</v>
      </c>
      <c r="B1598" t="str">
        <f>"    // Page Address Resister"&amp;A1598</f>
        <v xml:space="preserve">    // Page Address Resister138</v>
      </c>
    </row>
    <row r="1599" spans="1:2" x14ac:dyDescent="0.3">
      <c r="A1599" t="str">
        <f>DEC2HEX(A1598)</f>
        <v>8A</v>
      </c>
      <c r="B1599" t="s">
        <v>0</v>
      </c>
    </row>
    <row r="1600" spans="1:2" x14ac:dyDescent="0.3">
      <c r="B1600" t="s">
        <v>1</v>
      </c>
    </row>
    <row r="1601" spans="1:2" x14ac:dyDescent="0.3">
      <c r="B1601" t="str">
        <f>"            sr_paddr_dat["&amp;A1598&amp;"]   &lt;= 24'h0;"</f>
        <v xml:space="preserve">            sr_paddr_dat[138]   &lt;= 24'h0;</v>
      </c>
    </row>
    <row r="1602" spans="1:2" x14ac:dyDescent="0.3">
      <c r="B1602" t="s">
        <v>2</v>
      </c>
    </row>
    <row r="1603" spans="1:2" x14ac:dyDescent="0.3">
      <c r="B1603" t="str">
        <f>"           if (PADDR_CNT == 7'd"&amp;A1598&amp;")"</f>
        <v xml:space="preserve">           if (PADDR_CNT == 7'd138)</v>
      </c>
    </row>
    <row r="1604" spans="1:2" x14ac:dyDescent="0.3">
      <c r="B1604" t="str">
        <f>"               sr_paddr_dat["&amp;A1598&amp;"]  &lt;= sr_page_paddr_buf;"</f>
        <v xml:space="preserve">               sr_paddr_dat[138]  &lt;= sr_page_paddr_buf;</v>
      </c>
    </row>
    <row r="1605" spans="1:2" x14ac:dyDescent="0.3">
      <c r="B1605" t="s">
        <v>3</v>
      </c>
    </row>
    <row r="1606" spans="1:2" x14ac:dyDescent="0.3">
      <c r="B1606" t="str">
        <f>"               sr_paddr_dat["&amp;A1598&amp;"]  &lt;= sr_paddr_dat["&amp;A1598&amp;"];"</f>
        <v xml:space="preserve">               sr_paddr_dat[138]  &lt;= sr_paddr_dat[138];</v>
      </c>
    </row>
    <row r="1607" spans="1:2" x14ac:dyDescent="0.3">
      <c r="B1607" t="s">
        <v>4</v>
      </c>
    </row>
    <row r="1608" spans="1:2" x14ac:dyDescent="0.3">
      <c r="B1608" t="s">
        <v>5</v>
      </c>
    </row>
    <row r="1610" spans="1:2" x14ac:dyDescent="0.3">
      <c r="A1610">
        <f>A1598+1</f>
        <v>139</v>
      </c>
      <c r="B1610" t="str">
        <f>"    // Page Address Resister"&amp;A1610</f>
        <v xml:space="preserve">    // Page Address Resister139</v>
      </c>
    </row>
    <row r="1611" spans="1:2" x14ac:dyDescent="0.3">
      <c r="A1611" t="str">
        <f>DEC2HEX(A1610)</f>
        <v>8B</v>
      </c>
      <c r="B1611" t="s">
        <v>0</v>
      </c>
    </row>
    <row r="1612" spans="1:2" x14ac:dyDescent="0.3">
      <c r="B1612" t="s">
        <v>1</v>
      </c>
    </row>
    <row r="1613" spans="1:2" x14ac:dyDescent="0.3">
      <c r="B1613" t="str">
        <f>"            sr_paddr_dat["&amp;A1610&amp;"]   &lt;= 24'h0;"</f>
        <v xml:space="preserve">            sr_paddr_dat[139]   &lt;= 24'h0;</v>
      </c>
    </row>
    <row r="1614" spans="1:2" x14ac:dyDescent="0.3">
      <c r="B1614" t="s">
        <v>2</v>
      </c>
    </row>
    <row r="1615" spans="1:2" x14ac:dyDescent="0.3">
      <c r="B1615" t="str">
        <f>"           if (PADDR_CNT == 7'd"&amp;A1610&amp;")"</f>
        <v xml:space="preserve">           if (PADDR_CNT == 7'd139)</v>
      </c>
    </row>
    <row r="1616" spans="1:2" x14ac:dyDescent="0.3">
      <c r="B1616" t="str">
        <f>"               sr_paddr_dat["&amp;A1610&amp;"]  &lt;= sr_page_paddr_buf;"</f>
        <v xml:space="preserve">               sr_paddr_dat[139]  &lt;= sr_page_paddr_buf;</v>
      </c>
    </row>
    <row r="1617" spans="1:2" x14ac:dyDescent="0.3">
      <c r="B1617" t="s">
        <v>3</v>
      </c>
    </row>
    <row r="1618" spans="1:2" x14ac:dyDescent="0.3">
      <c r="B1618" t="str">
        <f>"               sr_paddr_dat["&amp;A1610&amp;"]  &lt;= sr_paddr_dat["&amp;A1610&amp;"];"</f>
        <v xml:space="preserve">               sr_paddr_dat[139]  &lt;= sr_paddr_dat[139];</v>
      </c>
    </row>
    <row r="1619" spans="1:2" x14ac:dyDescent="0.3">
      <c r="B1619" t="s">
        <v>4</v>
      </c>
    </row>
    <row r="1620" spans="1:2" x14ac:dyDescent="0.3">
      <c r="B1620" t="s">
        <v>5</v>
      </c>
    </row>
    <row r="1622" spans="1:2" x14ac:dyDescent="0.3">
      <c r="A1622">
        <f>A1610+1</f>
        <v>140</v>
      </c>
      <c r="B1622" t="str">
        <f>"    // Page Address Resister"&amp;A1622</f>
        <v xml:space="preserve">    // Page Address Resister140</v>
      </c>
    </row>
    <row r="1623" spans="1:2" x14ac:dyDescent="0.3">
      <c r="A1623" t="str">
        <f>DEC2HEX(A1622)</f>
        <v>8C</v>
      </c>
      <c r="B1623" t="s">
        <v>0</v>
      </c>
    </row>
    <row r="1624" spans="1:2" x14ac:dyDescent="0.3">
      <c r="B1624" t="s">
        <v>1</v>
      </c>
    </row>
    <row r="1625" spans="1:2" x14ac:dyDescent="0.3">
      <c r="B1625" t="str">
        <f>"            sr_paddr_dat["&amp;A1622&amp;"]   &lt;= 24'h0;"</f>
        <v xml:space="preserve">            sr_paddr_dat[140]   &lt;= 24'h0;</v>
      </c>
    </row>
    <row r="1626" spans="1:2" x14ac:dyDescent="0.3">
      <c r="B1626" t="s">
        <v>2</v>
      </c>
    </row>
    <row r="1627" spans="1:2" x14ac:dyDescent="0.3">
      <c r="B1627" t="str">
        <f>"           if (PADDR_CNT == 7'd"&amp;A1622&amp;")"</f>
        <v xml:space="preserve">           if (PADDR_CNT == 7'd140)</v>
      </c>
    </row>
    <row r="1628" spans="1:2" x14ac:dyDescent="0.3">
      <c r="B1628" t="str">
        <f>"               sr_paddr_dat["&amp;A1622&amp;"]  &lt;= sr_page_paddr_buf;"</f>
        <v xml:space="preserve">               sr_paddr_dat[140]  &lt;= sr_page_paddr_buf;</v>
      </c>
    </row>
    <row r="1629" spans="1:2" x14ac:dyDescent="0.3">
      <c r="B1629" t="s">
        <v>3</v>
      </c>
    </row>
    <row r="1630" spans="1:2" x14ac:dyDescent="0.3">
      <c r="B1630" t="str">
        <f>"               sr_paddr_dat["&amp;A1622&amp;"]  &lt;= sr_paddr_dat["&amp;A1622&amp;"];"</f>
        <v xml:space="preserve">               sr_paddr_dat[140]  &lt;= sr_paddr_dat[140];</v>
      </c>
    </row>
    <row r="1631" spans="1:2" x14ac:dyDescent="0.3">
      <c r="B1631" t="s">
        <v>4</v>
      </c>
    </row>
    <row r="1632" spans="1:2" x14ac:dyDescent="0.3">
      <c r="B1632" t="s">
        <v>5</v>
      </c>
    </row>
    <row r="1634" spans="1:2" x14ac:dyDescent="0.3">
      <c r="A1634">
        <f>A1622+1</f>
        <v>141</v>
      </c>
      <c r="B1634" t="str">
        <f>"    // Page Address Resister"&amp;A1634</f>
        <v xml:space="preserve">    // Page Address Resister141</v>
      </c>
    </row>
    <row r="1635" spans="1:2" x14ac:dyDescent="0.3">
      <c r="A1635" t="str">
        <f>DEC2HEX(A1634)</f>
        <v>8D</v>
      </c>
      <c r="B1635" t="s">
        <v>0</v>
      </c>
    </row>
    <row r="1636" spans="1:2" x14ac:dyDescent="0.3">
      <c r="B1636" t="s">
        <v>1</v>
      </c>
    </row>
    <row r="1637" spans="1:2" x14ac:dyDescent="0.3">
      <c r="B1637" t="str">
        <f>"            sr_paddr_dat["&amp;A1634&amp;"]   &lt;= 24'h0;"</f>
        <v xml:space="preserve">            sr_paddr_dat[141]   &lt;= 24'h0;</v>
      </c>
    </row>
    <row r="1638" spans="1:2" x14ac:dyDescent="0.3">
      <c r="B1638" t="s">
        <v>2</v>
      </c>
    </row>
    <row r="1639" spans="1:2" x14ac:dyDescent="0.3">
      <c r="B1639" t="str">
        <f>"           if (PADDR_CNT == 7'd"&amp;A1634&amp;")"</f>
        <v xml:space="preserve">           if (PADDR_CNT == 7'd141)</v>
      </c>
    </row>
    <row r="1640" spans="1:2" x14ac:dyDescent="0.3">
      <c r="B1640" t="str">
        <f>"               sr_paddr_dat["&amp;A1634&amp;"]  &lt;= sr_page_paddr_buf;"</f>
        <v xml:space="preserve">               sr_paddr_dat[141]  &lt;= sr_page_paddr_buf;</v>
      </c>
    </row>
    <row r="1641" spans="1:2" x14ac:dyDescent="0.3">
      <c r="B1641" t="s">
        <v>3</v>
      </c>
    </row>
    <row r="1642" spans="1:2" x14ac:dyDescent="0.3">
      <c r="B1642" t="str">
        <f>"               sr_paddr_dat["&amp;A1634&amp;"]  &lt;= sr_paddr_dat["&amp;A1634&amp;"];"</f>
        <v xml:space="preserve">               sr_paddr_dat[141]  &lt;= sr_paddr_dat[141];</v>
      </c>
    </row>
    <row r="1643" spans="1:2" x14ac:dyDescent="0.3">
      <c r="B1643" t="s">
        <v>4</v>
      </c>
    </row>
    <row r="1644" spans="1:2" x14ac:dyDescent="0.3">
      <c r="B1644" t="s">
        <v>5</v>
      </c>
    </row>
    <row r="1646" spans="1:2" x14ac:dyDescent="0.3">
      <c r="A1646">
        <f>A1634+1</f>
        <v>142</v>
      </c>
      <c r="B1646" t="str">
        <f>"    // Page Address Resister"&amp;A1646</f>
        <v xml:space="preserve">    // Page Address Resister142</v>
      </c>
    </row>
    <row r="1647" spans="1:2" x14ac:dyDescent="0.3">
      <c r="A1647" t="str">
        <f>DEC2HEX(A1646)</f>
        <v>8E</v>
      </c>
      <c r="B1647" t="s">
        <v>0</v>
      </c>
    </row>
    <row r="1648" spans="1:2" x14ac:dyDescent="0.3">
      <c r="B1648" t="s">
        <v>1</v>
      </c>
    </row>
    <row r="1649" spans="1:2" x14ac:dyDescent="0.3">
      <c r="B1649" t="str">
        <f>"            sr_paddr_dat["&amp;A1646&amp;"]   &lt;= 24'h0;"</f>
        <v xml:space="preserve">            sr_paddr_dat[142]   &lt;= 24'h0;</v>
      </c>
    </row>
    <row r="1650" spans="1:2" x14ac:dyDescent="0.3">
      <c r="B1650" t="s">
        <v>2</v>
      </c>
    </row>
    <row r="1651" spans="1:2" x14ac:dyDescent="0.3">
      <c r="B1651" t="str">
        <f>"           if (PADDR_CNT == 7'd"&amp;A1646&amp;")"</f>
        <v xml:space="preserve">           if (PADDR_CNT == 7'd142)</v>
      </c>
    </row>
    <row r="1652" spans="1:2" x14ac:dyDescent="0.3">
      <c r="B1652" t="str">
        <f>"               sr_paddr_dat["&amp;A1646&amp;"]  &lt;= sr_page_paddr_buf;"</f>
        <v xml:space="preserve">               sr_paddr_dat[142]  &lt;= sr_page_paddr_buf;</v>
      </c>
    </row>
    <row r="1653" spans="1:2" x14ac:dyDescent="0.3">
      <c r="B1653" t="s">
        <v>3</v>
      </c>
    </row>
    <row r="1654" spans="1:2" x14ac:dyDescent="0.3">
      <c r="B1654" t="str">
        <f>"               sr_paddr_dat["&amp;A1646&amp;"]  &lt;= sr_paddr_dat["&amp;A1646&amp;"];"</f>
        <v xml:space="preserve">               sr_paddr_dat[142]  &lt;= sr_paddr_dat[142];</v>
      </c>
    </row>
    <row r="1655" spans="1:2" x14ac:dyDescent="0.3">
      <c r="B1655" t="s">
        <v>4</v>
      </c>
    </row>
    <row r="1656" spans="1:2" x14ac:dyDescent="0.3">
      <c r="B1656" t="s">
        <v>5</v>
      </c>
    </row>
    <row r="1658" spans="1:2" x14ac:dyDescent="0.3">
      <c r="A1658">
        <f>A1646+1</f>
        <v>143</v>
      </c>
      <c r="B1658" t="str">
        <f>"    // Page Address Resister"&amp;A1658</f>
        <v xml:space="preserve">    // Page Address Resister143</v>
      </c>
    </row>
    <row r="1659" spans="1:2" x14ac:dyDescent="0.3">
      <c r="A1659" t="str">
        <f>DEC2HEX(A1658)</f>
        <v>8F</v>
      </c>
      <c r="B1659" t="s">
        <v>0</v>
      </c>
    </row>
    <row r="1660" spans="1:2" x14ac:dyDescent="0.3">
      <c r="B1660" t="s">
        <v>1</v>
      </c>
    </row>
    <row r="1661" spans="1:2" x14ac:dyDescent="0.3">
      <c r="B1661" t="str">
        <f>"            sr_paddr_dat["&amp;A1658&amp;"]   &lt;= 24'h0;"</f>
        <v xml:space="preserve">            sr_paddr_dat[143]   &lt;= 24'h0;</v>
      </c>
    </row>
    <row r="1662" spans="1:2" x14ac:dyDescent="0.3">
      <c r="B1662" t="s">
        <v>2</v>
      </c>
    </row>
    <row r="1663" spans="1:2" x14ac:dyDescent="0.3">
      <c r="B1663" t="str">
        <f>"           if (PADDR_CNT == 7'd"&amp;A1658&amp;")"</f>
        <v xml:space="preserve">           if (PADDR_CNT == 7'd143)</v>
      </c>
    </row>
    <row r="1664" spans="1:2" x14ac:dyDescent="0.3">
      <c r="B1664" t="str">
        <f>"               sr_paddr_dat["&amp;A1658&amp;"]  &lt;= sr_page_paddr_buf;"</f>
        <v xml:space="preserve">               sr_paddr_dat[143]  &lt;= sr_page_paddr_buf;</v>
      </c>
    </row>
    <row r="1665" spans="1:2" x14ac:dyDescent="0.3">
      <c r="B1665" t="s">
        <v>3</v>
      </c>
    </row>
    <row r="1666" spans="1:2" x14ac:dyDescent="0.3">
      <c r="B1666" t="str">
        <f>"               sr_paddr_dat["&amp;A1658&amp;"]  &lt;= sr_paddr_dat["&amp;A1658&amp;"];"</f>
        <v xml:space="preserve">               sr_paddr_dat[143]  &lt;= sr_paddr_dat[143];</v>
      </c>
    </row>
    <row r="1667" spans="1:2" x14ac:dyDescent="0.3">
      <c r="B1667" t="s">
        <v>4</v>
      </c>
    </row>
    <row r="1668" spans="1:2" x14ac:dyDescent="0.3">
      <c r="B1668" t="s">
        <v>5</v>
      </c>
    </row>
    <row r="1670" spans="1:2" x14ac:dyDescent="0.3">
      <c r="A1670">
        <f>A1658+1</f>
        <v>144</v>
      </c>
      <c r="B1670" t="str">
        <f>"    // Page Address Resister"&amp;A1670</f>
        <v xml:space="preserve">    // Page Address Resister144</v>
      </c>
    </row>
    <row r="1671" spans="1:2" x14ac:dyDescent="0.3">
      <c r="A1671" t="str">
        <f>DEC2HEX(A1670)</f>
        <v>90</v>
      </c>
      <c r="B1671" t="s">
        <v>0</v>
      </c>
    </row>
    <row r="1672" spans="1:2" x14ac:dyDescent="0.3">
      <c r="B1672" t="s">
        <v>1</v>
      </c>
    </row>
    <row r="1673" spans="1:2" x14ac:dyDescent="0.3">
      <c r="B1673" t="str">
        <f>"            sr_paddr_dat["&amp;A1670&amp;"]   &lt;= 24'h0;"</f>
        <v xml:space="preserve">            sr_paddr_dat[144]   &lt;= 24'h0;</v>
      </c>
    </row>
    <row r="1674" spans="1:2" x14ac:dyDescent="0.3">
      <c r="B1674" t="s">
        <v>2</v>
      </c>
    </row>
    <row r="1675" spans="1:2" x14ac:dyDescent="0.3">
      <c r="B1675" t="str">
        <f>"           if (PADDR_CNT == 7'd"&amp;A1670&amp;")"</f>
        <v xml:space="preserve">           if (PADDR_CNT == 7'd144)</v>
      </c>
    </row>
    <row r="1676" spans="1:2" x14ac:dyDescent="0.3">
      <c r="B1676" t="str">
        <f>"               sr_paddr_dat["&amp;A1670&amp;"]  &lt;= sr_page_paddr_buf;"</f>
        <v xml:space="preserve">               sr_paddr_dat[144]  &lt;= sr_page_paddr_buf;</v>
      </c>
    </row>
    <row r="1677" spans="1:2" x14ac:dyDescent="0.3">
      <c r="B1677" t="s">
        <v>3</v>
      </c>
    </row>
    <row r="1678" spans="1:2" x14ac:dyDescent="0.3">
      <c r="B1678" t="str">
        <f>"               sr_paddr_dat["&amp;A1670&amp;"]  &lt;= sr_paddr_dat["&amp;A1670&amp;"];"</f>
        <v xml:space="preserve">               sr_paddr_dat[144]  &lt;= sr_paddr_dat[144];</v>
      </c>
    </row>
    <row r="1679" spans="1:2" x14ac:dyDescent="0.3">
      <c r="B1679" t="s">
        <v>4</v>
      </c>
    </row>
    <row r="1680" spans="1:2" x14ac:dyDescent="0.3">
      <c r="B1680" t="s">
        <v>5</v>
      </c>
    </row>
    <row r="1682" spans="1:2" x14ac:dyDescent="0.3">
      <c r="A1682">
        <f>A1670+1</f>
        <v>145</v>
      </c>
      <c r="B1682" t="str">
        <f>"    // Page Address Resister"&amp;A1682</f>
        <v xml:space="preserve">    // Page Address Resister145</v>
      </c>
    </row>
    <row r="1683" spans="1:2" x14ac:dyDescent="0.3">
      <c r="A1683" t="str">
        <f>DEC2HEX(A1682)</f>
        <v>91</v>
      </c>
      <c r="B1683" t="s">
        <v>0</v>
      </c>
    </row>
    <row r="1684" spans="1:2" x14ac:dyDescent="0.3">
      <c r="B1684" t="s">
        <v>1</v>
      </c>
    </row>
    <row r="1685" spans="1:2" x14ac:dyDescent="0.3">
      <c r="B1685" t="str">
        <f>"            sr_paddr_dat["&amp;A1682&amp;"]   &lt;= 24'h0;"</f>
        <v xml:space="preserve">            sr_paddr_dat[145]   &lt;= 24'h0;</v>
      </c>
    </row>
    <row r="1686" spans="1:2" x14ac:dyDescent="0.3">
      <c r="B1686" t="s">
        <v>2</v>
      </c>
    </row>
    <row r="1687" spans="1:2" x14ac:dyDescent="0.3">
      <c r="B1687" t="str">
        <f>"           if (PADDR_CNT == 7'd"&amp;A1682&amp;")"</f>
        <v xml:space="preserve">           if (PADDR_CNT == 7'd145)</v>
      </c>
    </row>
    <row r="1688" spans="1:2" x14ac:dyDescent="0.3">
      <c r="B1688" t="str">
        <f>"               sr_paddr_dat["&amp;A1682&amp;"]  &lt;= sr_page_paddr_buf;"</f>
        <v xml:space="preserve">               sr_paddr_dat[145]  &lt;= sr_page_paddr_buf;</v>
      </c>
    </row>
    <row r="1689" spans="1:2" x14ac:dyDescent="0.3">
      <c r="B1689" t="s">
        <v>3</v>
      </c>
    </row>
    <row r="1690" spans="1:2" x14ac:dyDescent="0.3">
      <c r="B1690" t="str">
        <f>"               sr_paddr_dat["&amp;A1682&amp;"]  &lt;= sr_paddr_dat["&amp;A1682&amp;"];"</f>
        <v xml:space="preserve">               sr_paddr_dat[145]  &lt;= sr_paddr_dat[145];</v>
      </c>
    </row>
    <row r="1691" spans="1:2" x14ac:dyDescent="0.3">
      <c r="B1691" t="s">
        <v>4</v>
      </c>
    </row>
    <row r="1692" spans="1:2" x14ac:dyDescent="0.3">
      <c r="B1692" t="s">
        <v>5</v>
      </c>
    </row>
    <row r="1694" spans="1:2" x14ac:dyDescent="0.3">
      <c r="A1694">
        <f>A1682+1</f>
        <v>146</v>
      </c>
      <c r="B1694" t="str">
        <f>"    // Page Address Resister"&amp;A1694</f>
        <v xml:space="preserve">    // Page Address Resister146</v>
      </c>
    </row>
    <row r="1695" spans="1:2" x14ac:dyDescent="0.3">
      <c r="A1695" t="str">
        <f>DEC2HEX(A1694)</f>
        <v>92</v>
      </c>
      <c r="B1695" t="s">
        <v>0</v>
      </c>
    </row>
    <row r="1696" spans="1:2" x14ac:dyDescent="0.3">
      <c r="B1696" t="s">
        <v>1</v>
      </c>
    </row>
    <row r="1697" spans="1:2" x14ac:dyDescent="0.3">
      <c r="B1697" t="str">
        <f>"            sr_paddr_dat["&amp;A1694&amp;"]   &lt;= 24'h0;"</f>
        <v xml:space="preserve">            sr_paddr_dat[146]   &lt;= 24'h0;</v>
      </c>
    </row>
    <row r="1698" spans="1:2" x14ac:dyDescent="0.3">
      <c r="B1698" t="s">
        <v>2</v>
      </c>
    </row>
    <row r="1699" spans="1:2" x14ac:dyDescent="0.3">
      <c r="B1699" t="str">
        <f>"           if (PADDR_CNT == 7'd"&amp;A1694&amp;")"</f>
        <v xml:space="preserve">           if (PADDR_CNT == 7'd146)</v>
      </c>
    </row>
    <row r="1700" spans="1:2" x14ac:dyDescent="0.3">
      <c r="B1700" t="str">
        <f>"               sr_paddr_dat["&amp;A1694&amp;"]  &lt;= sr_page_paddr_buf;"</f>
        <v xml:space="preserve">               sr_paddr_dat[146]  &lt;= sr_page_paddr_buf;</v>
      </c>
    </row>
    <row r="1701" spans="1:2" x14ac:dyDescent="0.3">
      <c r="B1701" t="s">
        <v>3</v>
      </c>
    </row>
    <row r="1702" spans="1:2" x14ac:dyDescent="0.3">
      <c r="B1702" t="str">
        <f>"               sr_paddr_dat["&amp;A1694&amp;"]  &lt;= sr_paddr_dat["&amp;A1694&amp;"];"</f>
        <v xml:space="preserve">               sr_paddr_dat[146]  &lt;= sr_paddr_dat[146];</v>
      </c>
    </row>
    <row r="1703" spans="1:2" x14ac:dyDescent="0.3">
      <c r="B1703" t="s">
        <v>4</v>
      </c>
    </row>
    <row r="1704" spans="1:2" x14ac:dyDescent="0.3">
      <c r="B1704" t="s">
        <v>5</v>
      </c>
    </row>
    <row r="1706" spans="1:2" x14ac:dyDescent="0.3">
      <c r="A1706">
        <f>A1694+1</f>
        <v>147</v>
      </c>
      <c r="B1706" t="str">
        <f>"    // Page Address Resister"&amp;A1706</f>
        <v xml:space="preserve">    // Page Address Resister147</v>
      </c>
    </row>
    <row r="1707" spans="1:2" x14ac:dyDescent="0.3">
      <c r="A1707" t="str">
        <f>DEC2HEX(A1706)</f>
        <v>93</v>
      </c>
      <c r="B1707" t="s">
        <v>0</v>
      </c>
    </row>
    <row r="1708" spans="1:2" x14ac:dyDescent="0.3">
      <c r="B1708" t="s">
        <v>1</v>
      </c>
    </row>
    <row r="1709" spans="1:2" x14ac:dyDescent="0.3">
      <c r="B1709" t="str">
        <f>"            sr_paddr_dat["&amp;A1706&amp;"]   &lt;= 24'h0;"</f>
        <v xml:space="preserve">            sr_paddr_dat[147]   &lt;= 24'h0;</v>
      </c>
    </row>
    <row r="1710" spans="1:2" x14ac:dyDescent="0.3">
      <c r="B1710" t="s">
        <v>2</v>
      </c>
    </row>
    <row r="1711" spans="1:2" x14ac:dyDescent="0.3">
      <c r="B1711" t="str">
        <f>"           if (PADDR_CNT == 7'd"&amp;A1706&amp;")"</f>
        <v xml:space="preserve">           if (PADDR_CNT == 7'd147)</v>
      </c>
    </row>
    <row r="1712" spans="1:2" x14ac:dyDescent="0.3">
      <c r="B1712" t="str">
        <f>"               sr_paddr_dat["&amp;A1706&amp;"]  &lt;= sr_page_paddr_buf;"</f>
        <v xml:space="preserve">               sr_paddr_dat[147]  &lt;= sr_page_paddr_buf;</v>
      </c>
    </row>
    <row r="1713" spans="1:2" x14ac:dyDescent="0.3">
      <c r="B1713" t="s">
        <v>3</v>
      </c>
    </row>
    <row r="1714" spans="1:2" x14ac:dyDescent="0.3">
      <c r="B1714" t="str">
        <f>"               sr_paddr_dat["&amp;A1706&amp;"]  &lt;= sr_paddr_dat["&amp;A1706&amp;"];"</f>
        <v xml:space="preserve">               sr_paddr_dat[147]  &lt;= sr_paddr_dat[147];</v>
      </c>
    </row>
    <row r="1715" spans="1:2" x14ac:dyDescent="0.3">
      <c r="B1715" t="s">
        <v>4</v>
      </c>
    </row>
    <row r="1716" spans="1:2" x14ac:dyDescent="0.3">
      <c r="B1716" t="s">
        <v>5</v>
      </c>
    </row>
    <row r="1718" spans="1:2" x14ac:dyDescent="0.3">
      <c r="A1718">
        <f>A1706+1</f>
        <v>148</v>
      </c>
      <c r="B1718" t="str">
        <f>"    // Page Address Resister"&amp;A1718</f>
        <v xml:space="preserve">    // Page Address Resister148</v>
      </c>
    </row>
    <row r="1719" spans="1:2" x14ac:dyDescent="0.3">
      <c r="A1719" t="str">
        <f>DEC2HEX(A1718)</f>
        <v>94</v>
      </c>
      <c r="B1719" t="s">
        <v>0</v>
      </c>
    </row>
    <row r="1720" spans="1:2" x14ac:dyDescent="0.3">
      <c r="B1720" t="s">
        <v>1</v>
      </c>
    </row>
    <row r="1721" spans="1:2" x14ac:dyDescent="0.3">
      <c r="B1721" t="str">
        <f>"            sr_paddr_dat["&amp;A1718&amp;"]   &lt;= 24'h0;"</f>
        <v xml:space="preserve">            sr_paddr_dat[148]   &lt;= 24'h0;</v>
      </c>
    </row>
    <row r="1722" spans="1:2" x14ac:dyDescent="0.3">
      <c r="B1722" t="s">
        <v>2</v>
      </c>
    </row>
    <row r="1723" spans="1:2" x14ac:dyDescent="0.3">
      <c r="B1723" t="str">
        <f>"           if (PADDR_CNT == 7'd"&amp;A1718&amp;")"</f>
        <v xml:space="preserve">           if (PADDR_CNT == 7'd148)</v>
      </c>
    </row>
    <row r="1724" spans="1:2" x14ac:dyDescent="0.3">
      <c r="B1724" t="str">
        <f>"               sr_paddr_dat["&amp;A1718&amp;"]  &lt;= sr_page_paddr_buf;"</f>
        <v xml:space="preserve">               sr_paddr_dat[148]  &lt;= sr_page_paddr_buf;</v>
      </c>
    </row>
    <row r="1725" spans="1:2" x14ac:dyDescent="0.3">
      <c r="B1725" t="s">
        <v>3</v>
      </c>
    </row>
    <row r="1726" spans="1:2" x14ac:dyDescent="0.3">
      <c r="B1726" t="str">
        <f>"               sr_paddr_dat["&amp;A1718&amp;"]  &lt;= sr_paddr_dat["&amp;A1718&amp;"];"</f>
        <v xml:space="preserve">               sr_paddr_dat[148]  &lt;= sr_paddr_dat[148];</v>
      </c>
    </row>
    <row r="1727" spans="1:2" x14ac:dyDescent="0.3">
      <c r="B1727" t="s">
        <v>4</v>
      </c>
    </row>
    <row r="1728" spans="1:2" x14ac:dyDescent="0.3">
      <c r="B1728" t="s">
        <v>5</v>
      </c>
    </row>
    <row r="1730" spans="1:2" x14ac:dyDescent="0.3">
      <c r="A1730">
        <f>A1718+1</f>
        <v>149</v>
      </c>
      <c r="B1730" t="str">
        <f>"    // Page Address Resister"&amp;A1730</f>
        <v xml:space="preserve">    // Page Address Resister149</v>
      </c>
    </row>
    <row r="1731" spans="1:2" x14ac:dyDescent="0.3">
      <c r="A1731" t="str">
        <f>DEC2HEX(A1730)</f>
        <v>95</v>
      </c>
      <c r="B1731" t="s">
        <v>0</v>
      </c>
    </row>
    <row r="1732" spans="1:2" x14ac:dyDescent="0.3">
      <c r="B1732" t="s">
        <v>1</v>
      </c>
    </row>
    <row r="1733" spans="1:2" x14ac:dyDescent="0.3">
      <c r="B1733" t="str">
        <f>"            sr_paddr_dat["&amp;A1730&amp;"]   &lt;= 24'h0;"</f>
        <v xml:space="preserve">            sr_paddr_dat[149]   &lt;= 24'h0;</v>
      </c>
    </row>
    <row r="1734" spans="1:2" x14ac:dyDescent="0.3">
      <c r="B1734" t="s">
        <v>2</v>
      </c>
    </row>
    <row r="1735" spans="1:2" x14ac:dyDescent="0.3">
      <c r="B1735" t="str">
        <f>"           if (PADDR_CNT == 7'd"&amp;A1730&amp;")"</f>
        <v xml:space="preserve">           if (PADDR_CNT == 7'd149)</v>
      </c>
    </row>
    <row r="1736" spans="1:2" x14ac:dyDescent="0.3">
      <c r="B1736" t="str">
        <f>"               sr_paddr_dat["&amp;A1730&amp;"]  &lt;= sr_page_paddr_buf;"</f>
        <v xml:space="preserve">               sr_paddr_dat[149]  &lt;= sr_page_paddr_buf;</v>
      </c>
    </row>
    <row r="1737" spans="1:2" x14ac:dyDescent="0.3">
      <c r="B1737" t="s">
        <v>3</v>
      </c>
    </row>
    <row r="1738" spans="1:2" x14ac:dyDescent="0.3">
      <c r="B1738" t="str">
        <f>"               sr_paddr_dat["&amp;A1730&amp;"]  &lt;= sr_paddr_dat["&amp;A1730&amp;"];"</f>
        <v xml:space="preserve">               sr_paddr_dat[149]  &lt;= sr_paddr_dat[149];</v>
      </c>
    </row>
    <row r="1739" spans="1:2" x14ac:dyDescent="0.3">
      <c r="B1739" t="s">
        <v>4</v>
      </c>
    </row>
    <row r="1740" spans="1:2" x14ac:dyDescent="0.3">
      <c r="B1740" t="s">
        <v>5</v>
      </c>
    </row>
    <row r="1742" spans="1:2" x14ac:dyDescent="0.3">
      <c r="A1742">
        <f>A1730+1</f>
        <v>150</v>
      </c>
      <c r="B1742" t="str">
        <f>"    // Page Address Resister"&amp;A1742</f>
        <v xml:space="preserve">    // Page Address Resister150</v>
      </c>
    </row>
    <row r="1743" spans="1:2" x14ac:dyDescent="0.3">
      <c r="A1743" t="str">
        <f>DEC2HEX(A1742)</f>
        <v>96</v>
      </c>
      <c r="B1743" t="s">
        <v>0</v>
      </c>
    </row>
    <row r="1744" spans="1:2" x14ac:dyDescent="0.3">
      <c r="B1744" t="s">
        <v>1</v>
      </c>
    </row>
    <row r="1745" spans="1:2" x14ac:dyDescent="0.3">
      <c r="B1745" t="str">
        <f>"            sr_paddr_dat["&amp;A1742&amp;"]   &lt;= 24'h0;"</f>
        <v xml:space="preserve">            sr_paddr_dat[150]   &lt;= 24'h0;</v>
      </c>
    </row>
    <row r="1746" spans="1:2" x14ac:dyDescent="0.3">
      <c r="B1746" t="s">
        <v>2</v>
      </c>
    </row>
    <row r="1747" spans="1:2" x14ac:dyDescent="0.3">
      <c r="B1747" t="str">
        <f>"           if (PADDR_CNT == 7'd"&amp;A1742&amp;")"</f>
        <v xml:space="preserve">           if (PADDR_CNT == 7'd150)</v>
      </c>
    </row>
    <row r="1748" spans="1:2" x14ac:dyDescent="0.3">
      <c r="B1748" t="str">
        <f>"               sr_paddr_dat["&amp;A1742&amp;"]  &lt;= sr_page_paddr_buf;"</f>
        <v xml:space="preserve">               sr_paddr_dat[150]  &lt;= sr_page_paddr_buf;</v>
      </c>
    </row>
    <row r="1749" spans="1:2" x14ac:dyDescent="0.3">
      <c r="B1749" t="s">
        <v>3</v>
      </c>
    </row>
    <row r="1750" spans="1:2" x14ac:dyDescent="0.3">
      <c r="B1750" t="str">
        <f>"               sr_paddr_dat["&amp;A1742&amp;"]  &lt;= sr_paddr_dat["&amp;A1742&amp;"];"</f>
        <v xml:space="preserve">               sr_paddr_dat[150]  &lt;= sr_paddr_dat[150];</v>
      </c>
    </row>
    <row r="1751" spans="1:2" x14ac:dyDescent="0.3">
      <c r="B1751" t="s">
        <v>4</v>
      </c>
    </row>
    <row r="1752" spans="1:2" x14ac:dyDescent="0.3">
      <c r="B1752" t="s">
        <v>5</v>
      </c>
    </row>
    <row r="1754" spans="1:2" x14ac:dyDescent="0.3">
      <c r="A1754">
        <f>A1742+1</f>
        <v>151</v>
      </c>
      <c r="B1754" t="str">
        <f>"    // Page Address Resister"&amp;A1754</f>
        <v xml:space="preserve">    // Page Address Resister151</v>
      </c>
    </row>
    <row r="1755" spans="1:2" x14ac:dyDescent="0.3">
      <c r="A1755" t="str">
        <f>DEC2HEX(A1754)</f>
        <v>97</v>
      </c>
      <c r="B1755" t="s">
        <v>0</v>
      </c>
    </row>
    <row r="1756" spans="1:2" x14ac:dyDescent="0.3">
      <c r="B1756" t="s">
        <v>1</v>
      </c>
    </row>
    <row r="1757" spans="1:2" x14ac:dyDescent="0.3">
      <c r="B1757" t="str">
        <f>"            sr_paddr_dat["&amp;A1754&amp;"]   &lt;= 24'h0;"</f>
        <v xml:space="preserve">            sr_paddr_dat[151]   &lt;= 24'h0;</v>
      </c>
    </row>
    <row r="1758" spans="1:2" x14ac:dyDescent="0.3">
      <c r="B1758" t="s">
        <v>2</v>
      </c>
    </row>
    <row r="1759" spans="1:2" x14ac:dyDescent="0.3">
      <c r="B1759" t="str">
        <f>"           if (PADDR_CNT == 7'd"&amp;A1754&amp;")"</f>
        <v xml:space="preserve">           if (PADDR_CNT == 7'd151)</v>
      </c>
    </row>
    <row r="1760" spans="1:2" x14ac:dyDescent="0.3">
      <c r="B1760" t="str">
        <f>"               sr_paddr_dat["&amp;A1754&amp;"]  &lt;= sr_page_paddr_buf;"</f>
        <v xml:space="preserve">               sr_paddr_dat[151]  &lt;= sr_page_paddr_buf;</v>
      </c>
    </row>
    <row r="1761" spans="1:2" x14ac:dyDescent="0.3">
      <c r="B1761" t="s">
        <v>3</v>
      </c>
    </row>
    <row r="1762" spans="1:2" x14ac:dyDescent="0.3">
      <c r="B1762" t="str">
        <f>"               sr_paddr_dat["&amp;A1754&amp;"]  &lt;= sr_paddr_dat["&amp;A1754&amp;"];"</f>
        <v xml:space="preserve">               sr_paddr_dat[151]  &lt;= sr_paddr_dat[151];</v>
      </c>
    </row>
    <row r="1763" spans="1:2" x14ac:dyDescent="0.3">
      <c r="B1763" t="s">
        <v>4</v>
      </c>
    </row>
    <row r="1764" spans="1:2" x14ac:dyDescent="0.3">
      <c r="B1764" t="s">
        <v>5</v>
      </c>
    </row>
    <row r="1766" spans="1:2" x14ac:dyDescent="0.3">
      <c r="A1766">
        <f>A1754+1</f>
        <v>152</v>
      </c>
      <c r="B1766" t="str">
        <f>"    // Page Address Resister"&amp;A1766</f>
        <v xml:space="preserve">    // Page Address Resister152</v>
      </c>
    </row>
    <row r="1767" spans="1:2" x14ac:dyDescent="0.3">
      <c r="A1767" t="str">
        <f>DEC2HEX(A1766)</f>
        <v>98</v>
      </c>
      <c r="B1767" t="s">
        <v>0</v>
      </c>
    </row>
    <row r="1768" spans="1:2" x14ac:dyDescent="0.3">
      <c r="B1768" t="s">
        <v>1</v>
      </c>
    </row>
    <row r="1769" spans="1:2" x14ac:dyDescent="0.3">
      <c r="B1769" t="str">
        <f>"            sr_paddr_dat["&amp;A1766&amp;"]   &lt;= 24'h0;"</f>
        <v xml:space="preserve">            sr_paddr_dat[152]   &lt;= 24'h0;</v>
      </c>
    </row>
    <row r="1770" spans="1:2" x14ac:dyDescent="0.3">
      <c r="B1770" t="s">
        <v>2</v>
      </c>
    </row>
    <row r="1771" spans="1:2" x14ac:dyDescent="0.3">
      <c r="B1771" t="str">
        <f>"           if (PADDR_CNT == 7'd"&amp;A1766&amp;")"</f>
        <v xml:space="preserve">           if (PADDR_CNT == 7'd152)</v>
      </c>
    </row>
    <row r="1772" spans="1:2" x14ac:dyDescent="0.3">
      <c r="B1772" t="str">
        <f>"               sr_paddr_dat["&amp;A1766&amp;"]  &lt;= sr_page_paddr_buf;"</f>
        <v xml:space="preserve">               sr_paddr_dat[152]  &lt;= sr_page_paddr_buf;</v>
      </c>
    </row>
    <row r="1773" spans="1:2" x14ac:dyDescent="0.3">
      <c r="B1773" t="s">
        <v>3</v>
      </c>
    </row>
    <row r="1774" spans="1:2" x14ac:dyDescent="0.3">
      <c r="B1774" t="str">
        <f>"               sr_paddr_dat["&amp;A1766&amp;"]  &lt;= sr_paddr_dat["&amp;A1766&amp;"];"</f>
        <v xml:space="preserve">               sr_paddr_dat[152]  &lt;= sr_paddr_dat[152];</v>
      </c>
    </row>
    <row r="1775" spans="1:2" x14ac:dyDescent="0.3">
      <c r="B1775" t="s">
        <v>4</v>
      </c>
    </row>
    <row r="1776" spans="1:2" x14ac:dyDescent="0.3">
      <c r="B1776" t="s">
        <v>5</v>
      </c>
    </row>
    <row r="1778" spans="1:2" x14ac:dyDescent="0.3">
      <c r="A1778">
        <f>A1766+1</f>
        <v>153</v>
      </c>
      <c r="B1778" t="str">
        <f>"    // Page Address Resister"&amp;A1778</f>
        <v xml:space="preserve">    // Page Address Resister153</v>
      </c>
    </row>
    <row r="1779" spans="1:2" x14ac:dyDescent="0.3">
      <c r="A1779" t="str">
        <f>DEC2HEX(A1778)</f>
        <v>99</v>
      </c>
      <c r="B1779" t="s">
        <v>0</v>
      </c>
    </row>
    <row r="1780" spans="1:2" x14ac:dyDescent="0.3">
      <c r="B1780" t="s">
        <v>1</v>
      </c>
    </row>
    <row r="1781" spans="1:2" x14ac:dyDescent="0.3">
      <c r="B1781" t="str">
        <f>"            sr_paddr_dat["&amp;A1778&amp;"]   &lt;= 24'h0;"</f>
        <v xml:space="preserve">            sr_paddr_dat[153]   &lt;= 24'h0;</v>
      </c>
    </row>
    <row r="1782" spans="1:2" x14ac:dyDescent="0.3">
      <c r="B1782" t="s">
        <v>2</v>
      </c>
    </row>
    <row r="1783" spans="1:2" x14ac:dyDescent="0.3">
      <c r="B1783" t="str">
        <f>"           if (PADDR_CNT == 7'd"&amp;A1778&amp;")"</f>
        <v xml:space="preserve">           if (PADDR_CNT == 7'd153)</v>
      </c>
    </row>
    <row r="1784" spans="1:2" x14ac:dyDescent="0.3">
      <c r="B1784" t="str">
        <f>"               sr_paddr_dat["&amp;A1778&amp;"]  &lt;= sr_page_paddr_buf;"</f>
        <v xml:space="preserve">               sr_paddr_dat[153]  &lt;= sr_page_paddr_buf;</v>
      </c>
    </row>
    <row r="1785" spans="1:2" x14ac:dyDescent="0.3">
      <c r="B1785" t="s">
        <v>3</v>
      </c>
    </row>
    <row r="1786" spans="1:2" x14ac:dyDescent="0.3">
      <c r="B1786" t="str">
        <f>"               sr_paddr_dat["&amp;A1778&amp;"]  &lt;= sr_paddr_dat["&amp;A1778&amp;"];"</f>
        <v xml:space="preserve">               sr_paddr_dat[153]  &lt;= sr_paddr_dat[153];</v>
      </c>
    </row>
    <row r="1787" spans="1:2" x14ac:dyDescent="0.3">
      <c r="B1787" t="s">
        <v>4</v>
      </c>
    </row>
    <row r="1788" spans="1:2" x14ac:dyDescent="0.3">
      <c r="B1788" t="s">
        <v>5</v>
      </c>
    </row>
    <row r="1790" spans="1:2" x14ac:dyDescent="0.3">
      <c r="A1790">
        <f>A1778+1</f>
        <v>154</v>
      </c>
      <c r="B1790" t="str">
        <f>"    // Page Address Resister"&amp;A1790</f>
        <v xml:space="preserve">    // Page Address Resister154</v>
      </c>
    </row>
    <row r="1791" spans="1:2" x14ac:dyDescent="0.3">
      <c r="A1791" t="str">
        <f>DEC2HEX(A1790)</f>
        <v>9A</v>
      </c>
      <c r="B1791" t="s">
        <v>0</v>
      </c>
    </row>
    <row r="1792" spans="1:2" x14ac:dyDescent="0.3">
      <c r="B1792" t="s">
        <v>1</v>
      </c>
    </row>
    <row r="1793" spans="1:2" x14ac:dyDescent="0.3">
      <c r="B1793" t="str">
        <f>"            sr_paddr_dat["&amp;A1790&amp;"]   &lt;= 24'h0;"</f>
        <v xml:space="preserve">            sr_paddr_dat[154]   &lt;= 24'h0;</v>
      </c>
    </row>
    <row r="1794" spans="1:2" x14ac:dyDescent="0.3">
      <c r="B1794" t="s">
        <v>2</v>
      </c>
    </row>
    <row r="1795" spans="1:2" x14ac:dyDescent="0.3">
      <c r="B1795" t="str">
        <f>"           if (PADDR_CNT == 7'd"&amp;A1790&amp;")"</f>
        <v xml:space="preserve">           if (PADDR_CNT == 7'd154)</v>
      </c>
    </row>
    <row r="1796" spans="1:2" x14ac:dyDescent="0.3">
      <c r="B1796" t="str">
        <f>"               sr_paddr_dat["&amp;A1790&amp;"]  &lt;= sr_page_paddr_buf;"</f>
        <v xml:space="preserve">               sr_paddr_dat[154]  &lt;= sr_page_paddr_buf;</v>
      </c>
    </row>
    <row r="1797" spans="1:2" x14ac:dyDescent="0.3">
      <c r="B1797" t="s">
        <v>3</v>
      </c>
    </row>
    <row r="1798" spans="1:2" x14ac:dyDescent="0.3">
      <c r="B1798" t="str">
        <f>"               sr_paddr_dat["&amp;A1790&amp;"]  &lt;= sr_paddr_dat["&amp;A1790&amp;"];"</f>
        <v xml:space="preserve">               sr_paddr_dat[154]  &lt;= sr_paddr_dat[154];</v>
      </c>
    </row>
    <row r="1799" spans="1:2" x14ac:dyDescent="0.3">
      <c r="B1799" t="s">
        <v>4</v>
      </c>
    </row>
    <row r="1800" spans="1:2" x14ac:dyDescent="0.3">
      <c r="B1800" t="s">
        <v>5</v>
      </c>
    </row>
    <row r="1802" spans="1:2" x14ac:dyDescent="0.3">
      <c r="A1802">
        <f>A1790+1</f>
        <v>155</v>
      </c>
      <c r="B1802" t="str">
        <f>"    // Page Address Resister"&amp;A1802</f>
        <v xml:space="preserve">    // Page Address Resister155</v>
      </c>
    </row>
    <row r="1803" spans="1:2" x14ac:dyDescent="0.3">
      <c r="A1803" t="str">
        <f>DEC2HEX(A1802)</f>
        <v>9B</v>
      </c>
      <c r="B1803" t="s">
        <v>0</v>
      </c>
    </row>
    <row r="1804" spans="1:2" x14ac:dyDescent="0.3">
      <c r="B1804" t="s">
        <v>1</v>
      </c>
    </row>
    <row r="1805" spans="1:2" x14ac:dyDescent="0.3">
      <c r="B1805" t="str">
        <f>"            sr_paddr_dat["&amp;A1802&amp;"]   &lt;= 24'h0;"</f>
        <v xml:space="preserve">            sr_paddr_dat[155]   &lt;= 24'h0;</v>
      </c>
    </row>
    <row r="1806" spans="1:2" x14ac:dyDescent="0.3">
      <c r="B1806" t="s">
        <v>2</v>
      </c>
    </row>
    <row r="1807" spans="1:2" x14ac:dyDescent="0.3">
      <c r="B1807" t="str">
        <f>"           if (PADDR_CNT == 7'd"&amp;A1802&amp;")"</f>
        <v xml:space="preserve">           if (PADDR_CNT == 7'd155)</v>
      </c>
    </row>
    <row r="1808" spans="1:2" x14ac:dyDescent="0.3">
      <c r="B1808" t="str">
        <f>"               sr_paddr_dat["&amp;A1802&amp;"]  &lt;= sr_page_paddr_buf;"</f>
        <v xml:space="preserve">               sr_paddr_dat[155]  &lt;= sr_page_paddr_buf;</v>
      </c>
    </row>
    <row r="1809" spans="1:2" x14ac:dyDescent="0.3">
      <c r="B1809" t="s">
        <v>3</v>
      </c>
    </row>
    <row r="1810" spans="1:2" x14ac:dyDescent="0.3">
      <c r="B1810" t="str">
        <f>"               sr_paddr_dat["&amp;A1802&amp;"]  &lt;= sr_paddr_dat["&amp;A1802&amp;"];"</f>
        <v xml:space="preserve">               sr_paddr_dat[155]  &lt;= sr_paddr_dat[155];</v>
      </c>
    </row>
    <row r="1811" spans="1:2" x14ac:dyDescent="0.3">
      <c r="B1811" t="s">
        <v>4</v>
      </c>
    </row>
    <row r="1812" spans="1:2" x14ac:dyDescent="0.3">
      <c r="B1812" t="s">
        <v>5</v>
      </c>
    </row>
    <row r="1814" spans="1:2" x14ac:dyDescent="0.3">
      <c r="A1814">
        <f>A1802+1</f>
        <v>156</v>
      </c>
      <c r="B1814" t="str">
        <f>"    // Page Address Resister"&amp;A1814</f>
        <v xml:space="preserve">    // Page Address Resister156</v>
      </c>
    </row>
    <row r="1815" spans="1:2" x14ac:dyDescent="0.3">
      <c r="A1815" t="str">
        <f>DEC2HEX(A1814)</f>
        <v>9C</v>
      </c>
      <c r="B1815" t="s">
        <v>0</v>
      </c>
    </row>
    <row r="1816" spans="1:2" x14ac:dyDescent="0.3">
      <c r="B1816" t="s">
        <v>1</v>
      </c>
    </row>
    <row r="1817" spans="1:2" x14ac:dyDescent="0.3">
      <c r="B1817" t="str">
        <f>"            sr_paddr_dat["&amp;A1814&amp;"]   &lt;= 24'h0;"</f>
        <v xml:space="preserve">            sr_paddr_dat[156]   &lt;= 24'h0;</v>
      </c>
    </row>
    <row r="1818" spans="1:2" x14ac:dyDescent="0.3">
      <c r="B1818" t="s">
        <v>2</v>
      </c>
    </row>
    <row r="1819" spans="1:2" x14ac:dyDescent="0.3">
      <c r="B1819" t="str">
        <f>"           if (PADDR_CNT == 7'd"&amp;A1814&amp;")"</f>
        <v xml:space="preserve">           if (PADDR_CNT == 7'd156)</v>
      </c>
    </row>
    <row r="1820" spans="1:2" x14ac:dyDescent="0.3">
      <c r="B1820" t="str">
        <f>"               sr_paddr_dat["&amp;A1814&amp;"]  &lt;= sr_page_paddr_buf;"</f>
        <v xml:space="preserve">               sr_paddr_dat[156]  &lt;= sr_page_paddr_buf;</v>
      </c>
    </row>
    <row r="1821" spans="1:2" x14ac:dyDescent="0.3">
      <c r="B1821" t="s">
        <v>3</v>
      </c>
    </row>
    <row r="1822" spans="1:2" x14ac:dyDescent="0.3">
      <c r="B1822" t="str">
        <f>"               sr_paddr_dat["&amp;A1814&amp;"]  &lt;= sr_paddr_dat["&amp;A1814&amp;"];"</f>
        <v xml:space="preserve">               sr_paddr_dat[156]  &lt;= sr_paddr_dat[156];</v>
      </c>
    </row>
    <row r="1823" spans="1:2" x14ac:dyDescent="0.3">
      <c r="B1823" t="s">
        <v>4</v>
      </c>
    </row>
    <row r="1824" spans="1:2" x14ac:dyDescent="0.3">
      <c r="B1824" t="s">
        <v>5</v>
      </c>
    </row>
    <row r="1826" spans="1:2" x14ac:dyDescent="0.3">
      <c r="A1826">
        <f>A1814+1</f>
        <v>157</v>
      </c>
      <c r="B1826" t="str">
        <f>"    // Page Address Resister"&amp;A1826</f>
        <v xml:space="preserve">    // Page Address Resister157</v>
      </c>
    </row>
    <row r="1827" spans="1:2" x14ac:dyDescent="0.3">
      <c r="A1827" t="str">
        <f>DEC2HEX(A1826)</f>
        <v>9D</v>
      </c>
      <c r="B1827" t="s">
        <v>0</v>
      </c>
    </row>
    <row r="1828" spans="1:2" x14ac:dyDescent="0.3">
      <c r="B1828" t="s">
        <v>1</v>
      </c>
    </row>
    <row r="1829" spans="1:2" x14ac:dyDescent="0.3">
      <c r="B1829" t="str">
        <f>"            sr_paddr_dat["&amp;A1826&amp;"]   &lt;= 24'h0;"</f>
        <v xml:space="preserve">            sr_paddr_dat[157]   &lt;= 24'h0;</v>
      </c>
    </row>
    <row r="1830" spans="1:2" x14ac:dyDescent="0.3">
      <c r="B1830" t="s">
        <v>2</v>
      </c>
    </row>
    <row r="1831" spans="1:2" x14ac:dyDescent="0.3">
      <c r="B1831" t="str">
        <f>"           if (PADDR_CNT == 7'd"&amp;A1826&amp;")"</f>
        <v xml:space="preserve">           if (PADDR_CNT == 7'd157)</v>
      </c>
    </row>
    <row r="1832" spans="1:2" x14ac:dyDescent="0.3">
      <c r="B1832" t="str">
        <f>"               sr_paddr_dat["&amp;A1826&amp;"]  &lt;= sr_page_paddr_buf;"</f>
        <v xml:space="preserve">               sr_paddr_dat[157]  &lt;= sr_page_paddr_buf;</v>
      </c>
    </row>
    <row r="1833" spans="1:2" x14ac:dyDescent="0.3">
      <c r="B1833" t="s">
        <v>3</v>
      </c>
    </row>
    <row r="1834" spans="1:2" x14ac:dyDescent="0.3">
      <c r="B1834" t="str">
        <f>"               sr_paddr_dat["&amp;A1826&amp;"]  &lt;= sr_paddr_dat["&amp;A1826&amp;"];"</f>
        <v xml:space="preserve">               sr_paddr_dat[157]  &lt;= sr_paddr_dat[157];</v>
      </c>
    </row>
    <row r="1835" spans="1:2" x14ac:dyDescent="0.3">
      <c r="B1835" t="s">
        <v>4</v>
      </c>
    </row>
    <row r="1836" spans="1:2" x14ac:dyDescent="0.3">
      <c r="B1836" t="s">
        <v>5</v>
      </c>
    </row>
    <row r="1838" spans="1:2" x14ac:dyDescent="0.3">
      <c r="A1838">
        <f>A1826+1</f>
        <v>158</v>
      </c>
      <c r="B1838" t="str">
        <f>"    // Page Address Resister"&amp;A1838</f>
        <v xml:space="preserve">    // Page Address Resister158</v>
      </c>
    </row>
    <row r="1839" spans="1:2" x14ac:dyDescent="0.3">
      <c r="A1839" t="str">
        <f>DEC2HEX(A1838)</f>
        <v>9E</v>
      </c>
      <c r="B1839" t="s">
        <v>0</v>
      </c>
    </row>
    <row r="1840" spans="1:2" x14ac:dyDescent="0.3">
      <c r="B1840" t="s">
        <v>1</v>
      </c>
    </row>
    <row r="1841" spans="1:2" x14ac:dyDescent="0.3">
      <c r="B1841" t="str">
        <f>"            sr_paddr_dat["&amp;A1838&amp;"]   &lt;= 24'h0;"</f>
        <v xml:space="preserve">            sr_paddr_dat[158]   &lt;= 24'h0;</v>
      </c>
    </row>
    <row r="1842" spans="1:2" x14ac:dyDescent="0.3">
      <c r="B1842" t="s">
        <v>2</v>
      </c>
    </row>
    <row r="1843" spans="1:2" x14ac:dyDescent="0.3">
      <c r="B1843" t="str">
        <f>"           if (PADDR_CNT == 7'd"&amp;A1838&amp;")"</f>
        <v xml:space="preserve">           if (PADDR_CNT == 7'd158)</v>
      </c>
    </row>
    <row r="1844" spans="1:2" x14ac:dyDescent="0.3">
      <c r="B1844" t="str">
        <f>"               sr_paddr_dat["&amp;A1838&amp;"]  &lt;= sr_page_paddr_buf;"</f>
        <v xml:space="preserve">               sr_paddr_dat[158]  &lt;= sr_page_paddr_buf;</v>
      </c>
    </row>
    <row r="1845" spans="1:2" x14ac:dyDescent="0.3">
      <c r="B1845" t="s">
        <v>3</v>
      </c>
    </row>
    <row r="1846" spans="1:2" x14ac:dyDescent="0.3">
      <c r="B1846" t="str">
        <f>"               sr_paddr_dat["&amp;A1838&amp;"]  &lt;= sr_paddr_dat["&amp;A1838&amp;"];"</f>
        <v xml:space="preserve">               sr_paddr_dat[158]  &lt;= sr_paddr_dat[158];</v>
      </c>
    </row>
    <row r="1847" spans="1:2" x14ac:dyDescent="0.3">
      <c r="B1847" t="s">
        <v>4</v>
      </c>
    </row>
    <row r="1848" spans="1:2" x14ac:dyDescent="0.3">
      <c r="B1848" t="s">
        <v>5</v>
      </c>
    </row>
    <row r="1850" spans="1:2" x14ac:dyDescent="0.3">
      <c r="A1850">
        <f>A1838+1</f>
        <v>159</v>
      </c>
      <c r="B1850" t="str">
        <f>"    // Page Address Resister"&amp;A1850</f>
        <v xml:space="preserve">    // Page Address Resister159</v>
      </c>
    </row>
    <row r="1851" spans="1:2" x14ac:dyDescent="0.3">
      <c r="A1851" t="str">
        <f>DEC2HEX(A1850)</f>
        <v>9F</v>
      </c>
      <c r="B1851" t="s">
        <v>0</v>
      </c>
    </row>
    <row r="1852" spans="1:2" x14ac:dyDescent="0.3">
      <c r="B1852" t="s">
        <v>1</v>
      </c>
    </row>
    <row r="1853" spans="1:2" x14ac:dyDescent="0.3">
      <c r="B1853" t="str">
        <f>"            sr_paddr_dat["&amp;A1850&amp;"]   &lt;= 24'h0;"</f>
        <v xml:space="preserve">            sr_paddr_dat[159]   &lt;= 24'h0;</v>
      </c>
    </row>
    <row r="1854" spans="1:2" x14ac:dyDescent="0.3">
      <c r="B1854" t="s">
        <v>2</v>
      </c>
    </row>
    <row r="1855" spans="1:2" x14ac:dyDescent="0.3">
      <c r="B1855" t="str">
        <f>"           if (PADDR_CNT == 7'd"&amp;A1850&amp;")"</f>
        <v xml:space="preserve">           if (PADDR_CNT == 7'd159)</v>
      </c>
    </row>
    <row r="1856" spans="1:2" x14ac:dyDescent="0.3">
      <c r="B1856" t="str">
        <f>"               sr_paddr_dat["&amp;A1850&amp;"]  &lt;= sr_page_paddr_buf;"</f>
        <v xml:space="preserve">               sr_paddr_dat[159]  &lt;= sr_page_paddr_buf;</v>
      </c>
    </row>
    <row r="1857" spans="1:2" x14ac:dyDescent="0.3">
      <c r="B1857" t="s">
        <v>3</v>
      </c>
    </row>
    <row r="1858" spans="1:2" x14ac:dyDescent="0.3">
      <c r="B1858" t="str">
        <f>"               sr_paddr_dat["&amp;A1850&amp;"]  &lt;= sr_paddr_dat["&amp;A1850&amp;"];"</f>
        <v xml:space="preserve">               sr_paddr_dat[159]  &lt;= sr_paddr_dat[159];</v>
      </c>
    </row>
    <row r="1859" spans="1:2" x14ac:dyDescent="0.3">
      <c r="B1859" t="s">
        <v>4</v>
      </c>
    </row>
    <row r="1860" spans="1:2" x14ac:dyDescent="0.3">
      <c r="B1860" t="s">
        <v>5</v>
      </c>
    </row>
    <row r="1862" spans="1:2" x14ac:dyDescent="0.3">
      <c r="A1862">
        <f>A1850+1</f>
        <v>160</v>
      </c>
      <c r="B1862" t="str">
        <f>"    // Page Address Resister"&amp;A1862</f>
        <v xml:space="preserve">    // Page Address Resister160</v>
      </c>
    </row>
    <row r="1863" spans="1:2" x14ac:dyDescent="0.3">
      <c r="A1863" t="str">
        <f>DEC2HEX(A1862)</f>
        <v>A0</v>
      </c>
      <c r="B1863" t="s">
        <v>0</v>
      </c>
    </row>
    <row r="1864" spans="1:2" x14ac:dyDescent="0.3">
      <c r="B1864" t="s">
        <v>1</v>
      </c>
    </row>
    <row r="1865" spans="1:2" x14ac:dyDescent="0.3">
      <c r="B1865" t="str">
        <f>"            sr_paddr_dat["&amp;A1862&amp;"]   &lt;= 24'h0;"</f>
        <v xml:space="preserve">            sr_paddr_dat[160]   &lt;= 24'h0;</v>
      </c>
    </row>
    <row r="1866" spans="1:2" x14ac:dyDescent="0.3">
      <c r="B1866" t="s">
        <v>2</v>
      </c>
    </row>
    <row r="1867" spans="1:2" x14ac:dyDescent="0.3">
      <c r="B1867" t="str">
        <f>"           if (PADDR_CNT == 7'd"&amp;A1862&amp;")"</f>
        <v xml:space="preserve">           if (PADDR_CNT == 7'd160)</v>
      </c>
    </row>
    <row r="1868" spans="1:2" x14ac:dyDescent="0.3">
      <c r="B1868" t="str">
        <f>"               sr_paddr_dat["&amp;A1862&amp;"]  &lt;= sr_page_paddr_buf;"</f>
        <v xml:space="preserve">               sr_paddr_dat[160]  &lt;= sr_page_paddr_buf;</v>
      </c>
    </row>
    <row r="1869" spans="1:2" x14ac:dyDescent="0.3">
      <c r="B1869" t="s">
        <v>3</v>
      </c>
    </row>
    <row r="1870" spans="1:2" x14ac:dyDescent="0.3">
      <c r="B1870" t="str">
        <f>"               sr_paddr_dat["&amp;A1862&amp;"]  &lt;= sr_paddr_dat["&amp;A1862&amp;"];"</f>
        <v xml:space="preserve">               sr_paddr_dat[160]  &lt;= sr_paddr_dat[160];</v>
      </c>
    </row>
    <row r="1871" spans="1:2" x14ac:dyDescent="0.3">
      <c r="B1871" t="s">
        <v>4</v>
      </c>
    </row>
    <row r="1872" spans="1:2" x14ac:dyDescent="0.3">
      <c r="B1872" t="s">
        <v>5</v>
      </c>
    </row>
    <row r="1874" spans="1:2" x14ac:dyDescent="0.3">
      <c r="A1874">
        <f>A1862+1</f>
        <v>161</v>
      </c>
      <c r="B1874" t="str">
        <f>"    // Page Address Resister"&amp;A1874</f>
        <v xml:space="preserve">    // Page Address Resister161</v>
      </c>
    </row>
    <row r="1875" spans="1:2" x14ac:dyDescent="0.3">
      <c r="A1875" t="str">
        <f>DEC2HEX(A1874)</f>
        <v>A1</v>
      </c>
      <c r="B1875" t="s">
        <v>0</v>
      </c>
    </row>
    <row r="1876" spans="1:2" x14ac:dyDescent="0.3">
      <c r="B1876" t="s">
        <v>1</v>
      </c>
    </row>
    <row r="1877" spans="1:2" x14ac:dyDescent="0.3">
      <c r="B1877" t="str">
        <f>"            sr_paddr_dat["&amp;A1874&amp;"]   &lt;= 24'h0;"</f>
        <v xml:space="preserve">            sr_paddr_dat[161]   &lt;= 24'h0;</v>
      </c>
    </row>
    <row r="1878" spans="1:2" x14ac:dyDescent="0.3">
      <c r="B1878" t="s">
        <v>2</v>
      </c>
    </row>
    <row r="1879" spans="1:2" x14ac:dyDescent="0.3">
      <c r="B1879" t="str">
        <f>"           if (PADDR_CNT == 7'd"&amp;A1874&amp;")"</f>
        <v xml:space="preserve">           if (PADDR_CNT == 7'd161)</v>
      </c>
    </row>
    <row r="1880" spans="1:2" x14ac:dyDescent="0.3">
      <c r="B1880" t="str">
        <f>"               sr_paddr_dat["&amp;A1874&amp;"]  &lt;= sr_page_paddr_buf;"</f>
        <v xml:space="preserve">               sr_paddr_dat[161]  &lt;= sr_page_paddr_buf;</v>
      </c>
    </row>
    <row r="1881" spans="1:2" x14ac:dyDescent="0.3">
      <c r="B1881" t="s">
        <v>3</v>
      </c>
    </row>
    <row r="1882" spans="1:2" x14ac:dyDescent="0.3">
      <c r="B1882" t="str">
        <f>"               sr_paddr_dat["&amp;A1874&amp;"]  &lt;= sr_paddr_dat["&amp;A1874&amp;"];"</f>
        <v xml:space="preserve">               sr_paddr_dat[161]  &lt;= sr_paddr_dat[161];</v>
      </c>
    </row>
    <row r="1883" spans="1:2" x14ac:dyDescent="0.3">
      <c r="B1883" t="s">
        <v>4</v>
      </c>
    </row>
    <row r="1884" spans="1:2" x14ac:dyDescent="0.3">
      <c r="B1884" t="s">
        <v>5</v>
      </c>
    </row>
    <row r="1886" spans="1:2" x14ac:dyDescent="0.3">
      <c r="A1886">
        <f>A1874+1</f>
        <v>162</v>
      </c>
      <c r="B1886" t="str">
        <f>"    // Page Address Resister"&amp;A1886</f>
        <v xml:space="preserve">    // Page Address Resister162</v>
      </c>
    </row>
    <row r="1887" spans="1:2" x14ac:dyDescent="0.3">
      <c r="A1887" t="str">
        <f>DEC2HEX(A1886)</f>
        <v>A2</v>
      </c>
      <c r="B1887" t="s">
        <v>0</v>
      </c>
    </row>
    <row r="1888" spans="1:2" x14ac:dyDescent="0.3">
      <c r="B1888" t="s">
        <v>1</v>
      </c>
    </row>
    <row r="1889" spans="1:2" x14ac:dyDescent="0.3">
      <c r="B1889" t="str">
        <f>"            sr_paddr_dat["&amp;A1886&amp;"]   &lt;= 24'h0;"</f>
        <v xml:space="preserve">            sr_paddr_dat[162]   &lt;= 24'h0;</v>
      </c>
    </row>
    <row r="1890" spans="1:2" x14ac:dyDescent="0.3">
      <c r="B1890" t="s">
        <v>2</v>
      </c>
    </row>
    <row r="1891" spans="1:2" x14ac:dyDescent="0.3">
      <c r="B1891" t="str">
        <f>"           if (PADDR_CNT == 7'd"&amp;A1886&amp;")"</f>
        <v xml:space="preserve">           if (PADDR_CNT == 7'd162)</v>
      </c>
    </row>
    <row r="1892" spans="1:2" x14ac:dyDescent="0.3">
      <c r="B1892" t="str">
        <f>"               sr_paddr_dat["&amp;A1886&amp;"]  &lt;= sr_page_paddr_buf;"</f>
        <v xml:space="preserve">               sr_paddr_dat[162]  &lt;= sr_page_paddr_buf;</v>
      </c>
    </row>
    <row r="1893" spans="1:2" x14ac:dyDescent="0.3">
      <c r="B1893" t="s">
        <v>3</v>
      </c>
    </row>
    <row r="1894" spans="1:2" x14ac:dyDescent="0.3">
      <c r="B1894" t="str">
        <f>"               sr_paddr_dat["&amp;A1886&amp;"]  &lt;= sr_paddr_dat["&amp;A1886&amp;"];"</f>
        <v xml:space="preserve">               sr_paddr_dat[162]  &lt;= sr_paddr_dat[162];</v>
      </c>
    </row>
    <row r="1895" spans="1:2" x14ac:dyDescent="0.3">
      <c r="B1895" t="s">
        <v>4</v>
      </c>
    </row>
    <row r="1896" spans="1:2" x14ac:dyDescent="0.3">
      <c r="B1896" t="s">
        <v>5</v>
      </c>
    </row>
    <row r="1898" spans="1:2" x14ac:dyDescent="0.3">
      <c r="A1898">
        <f>A1886+1</f>
        <v>163</v>
      </c>
      <c r="B1898" t="str">
        <f>"    // Page Address Resister"&amp;A1898</f>
        <v xml:space="preserve">    // Page Address Resister163</v>
      </c>
    </row>
    <row r="1899" spans="1:2" x14ac:dyDescent="0.3">
      <c r="A1899" t="str">
        <f>DEC2HEX(A1898)</f>
        <v>A3</v>
      </c>
      <c r="B1899" t="s">
        <v>0</v>
      </c>
    </row>
    <row r="1900" spans="1:2" x14ac:dyDescent="0.3">
      <c r="B1900" t="s">
        <v>1</v>
      </c>
    </row>
    <row r="1901" spans="1:2" x14ac:dyDescent="0.3">
      <c r="B1901" t="str">
        <f>"            sr_paddr_dat["&amp;A1898&amp;"]   &lt;= 24'h0;"</f>
        <v xml:space="preserve">            sr_paddr_dat[163]   &lt;= 24'h0;</v>
      </c>
    </row>
    <row r="1902" spans="1:2" x14ac:dyDescent="0.3">
      <c r="B1902" t="s">
        <v>2</v>
      </c>
    </row>
    <row r="1903" spans="1:2" x14ac:dyDescent="0.3">
      <c r="B1903" t="str">
        <f>"           if (PADDR_CNT == 7'd"&amp;A1898&amp;")"</f>
        <v xml:space="preserve">           if (PADDR_CNT == 7'd163)</v>
      </c>
    </row>
    <row r="1904" spans="1:2" x14ac:dyDescent="0.3">
      <c r="B1904" t="str">
        <f>"               sr_paddr_dat["&amp;A1898&amp;"]  &lt;= sr_page_paddr_buf;"</f>
        <v xml:space="preserve">               sr_paddr_dat[163]  &lt;= sr_page_paddr_buf;</v>
      </c>
    </row>
    <row r="1905" spans="1:2" x14ac:dyDescent="0.3">
      <c r="B1905" t="s">
        <v>3</v>
      </c>
    </row>
    <row r="1906" spans="1:2" x14ac:dyDescent="0.3">
      <c r="B1906" t="str">
        <f>"               sr_paddr_dat["&amp;A1898&amp;"]  &lt;= sr_paddr_dat["&amp;A1898&amp;"];"</f>
        <v xml:space="preserve">               sr_paddr_dat[163]  &lt;= sr_paddr_dat[163];</v>
      </c>
    </row>
    <row r="1907" spans="1:2" x14ac:dyDescent="0.3">
      <c r="B1907" t="s">
        <v>4</v>
      </c>
    </row>
    <row r="1908" spans="1:2" x14ac:dyDescent="0.3">
      <c r="B1908" t="s">
        <v>5</v>
      </c>
    </row>
    <row r="1910" spans="1:2" x14ac:dyDescent="0.3">
      <c r="A1910">
        <f>A1898+1</f>
        <v>164</v>
      </c>
      <c r="B1910" t="str">
        <f>"    // Page Address Resister"&amp;A1910</f>
        <v xml:space="preserve">    // Page Address Resister164</v>
      </c>
    </row>
    <row r="1911" spans="1:2" x14ac:dyDescent="0.3">
      <c r="A1911" t="str">
        <f>DEC2HEX(A1910)</f>
        <v>A4</v>
      </c>
      <c r="B1911" t="s">
        <v>0</v>
      </c>
    </row>
    <row r="1912" spans="1:2" x14ac:dyDescent="0.3">
      <c r="B1912" t="s">
        <v>1</v>
      </c>
    </row>
    <row r="1913" spans="1:2" x14ac:dyDescent="0.3">
      <c r="B1913" t="str">
        <f>"            sr_paddr_dat["&amp;A1910&amp;"]   &lt;= 24'h0;"</f>
        <v xml:space="preserve">            sr_paddr_dat[164]   &lt;= 24'h0;</v>
      </c>
    </row>
    <row r="1914" spans="1:2" x14ac:dyDescent="0.3">
      <c r="B1914" t="s">
        <v>2</v>
      </c>
    </row>
    <row r="1915" spans="1:2" x14ac:dyDescent="0.3">
      <c r="B1915" t="str">
        <f>"           if (PADDR_CNT == 7'd"&amp;A1910&amp;")"</f>
        <v xml:space="preserve">           if (PADDR_CNT == 7'd164)</v>
      </c>
    </row>
    <row r="1916" spans="1:2" x14ac:dyDescent="0.3">
      <c r="B1916" t="str">
        <f>"               sr_paddr_dat["&amp;A1910&amp;"]  &lt;= sr_page_paddr_buf;"</f>
        <v xml:space="preserve">               sr_paddr_dat[164]  &lt;= sr_page_paddr_buf;</v>
      </c>
    </row>
    <row r="1917" spans="1:2" x14ac:dyDescent="0.3">
      <c r="B1917" t="s">
        <v>3</v>
      </c>
    </row>
    <row r="1918" spans="1:2" x14ac:dyDescent="0.3">
      <c r="B1918" t="str">
        <f>"               sr_paddr_dat["&amp;A1910&amp;"]  &lt;= sr_paddr_dat["&amp;A1910&amp;"];"</f>
        <v xml:space="preserve">               sr_paddr_dat[164]  &lt;= sr_paddr_dat[164];</v>
      </c>
    </row>
    <row r="1919" spans="1:2" x14ac:dyDescent="0.3">
      <c r="B1919" t="s">
        <v>4</v>
      </c>
    </row>
    <row r="1920" spans="1:2" x14ac:dyDescent="0.3">
      <c r="B1920" t="s">
        <v>5</v>
      </c>
    </row>
    <row r="1922" spans="1:2" x14ac:dyDescent="0.3">
      <c r="A1922">
        <f>A1910+1</f>
        <v>165</v>
      </c>
      <c r="B1922" t="str">
        <f>"    // Page Address Resister"&amp;A1922</f>
        <v xml:space="preserve">    // Page Address Resister165</v>
      </c>
    </row>
    <row r="1923" spans="1:2" x14ac:dyDescent="0.3">
      <c r="A1923" t="str">
        <f>DEC2HEX(A1922)</f>
        <v>A5</v>
      </c>
      <c r="B1923" t="s">
        <v>0</v>
      </c>
    </row>
    <row r="1924" spans="1:2" x14ac:dyDescent="0.3">
      <c r="B1924" t="s">
        <v>1</v>
      </c>
    </row>
    <row r="1925" spans="1:2" x14ac:dyDescent="0.3">
      <c r="B1925" t="str">
        <f>"            sr_paddr_dat["&amp;A1922&amp;"]   &lt;= 24'h0;"</f>
        <v xml:space="preserve">            sr_paddr_dat[165]   &lt;= 24'h0;</v>
      </c>
    </row>
    <row r="1926" spans="1:2" x14ac:dyDescent="0.3">
      <c r="B1926" t="s">
        <v>2</v>
      </c>
    </row>
    <row r="1927" spans="1:2" x14ac:dyDescent="0.3">
      <c r="B1927" t="str">
        <f>"           if (PADDR_CNT == 7'd"&amp;A1922&amp;")"</f>
        <v xml:space="preserve">           if (PADDR_CNT == 7'd165)</v>
      </c>
    </row>
    <row r="1928" spans="1:2" x14ac:dyDescent="0.3">
      <c r="B1928" t="str">
        <f>"               sr_paddr_dat["&amp;A1922&amp;"]  &lt;= sr_page_paddr_buf;"</f>
        <v xml:space="preserve">               sr_paddr_dat[165]  &lt;= sr_page_paddr_buf;</v>
      </c>
    </row>
    <row r="1929" spans="1:2" x14ac:dyDescent="0.3">
      <c r="B1929" t="s">
        <v>3</v>
      </c>
    </row>
    <row r="1930" spans="1:2" x14ac:dyDescent="0.3">
      <c r="B1930" t="str">
        <f>"               sr_paddr_dat["&amp;A1922&amp;"]  &lt;= sr_paddr_dat["&amp;A1922&amp;"];"</f>
        <v xml:space="preserve">               sr_paddr_dat[165]  &lt;= sr_paddr_dat[165];</v>
      </c>
    </row>
    <row r="1931" spans="1:2" x14ac:dyDescent="0.3">
      <c r="B1931" t="s">
        <v>4</v>
      </c>
    </row>
    <row r="1932" spans="1:2" x14ac:dyDescent="0.3">
      <c r="B1932" t="s">
        <v>5</v>
      </c>
    </row>
    <row r="1934" spans="1:2" x14ac:dyDescent="0.3">
      <c r="A1934">
        <f>A1922+1</f>
        <v>166</v>
      </c>
      <c r="B1934" t="str">
        <f>"    // Page Address Resister"&amp;A1934</f>
        <v xml:space="preserve">    // Page Address Resister166</v>
      </c>
    </row>
    <row r="1935" spans="1:2" x14ac:dyDescent="0.3">
      <c r="A1935" t="str">
        <f>DEC2HEX(A1934)</f>
        <v>A6</v>
      </c>
      <c r="B1935" t="s">
        <v>0</v>
      </c>
    </row>
    <row r="1936" spans="1:2" x14ac:dyDescent="0.3">
      <c r="B1936" t="s">
        <v>1</v>
      </c>
    </row>
    <row r="1937" spans="1:2" x14ac:dyDescent="0.3">
      <c r="B1937" t="str">
        <f>"            sr_paddr_dat["&amp;A1934&amp;"]   &lt;= 24'h0;"</f>
        <v xml:space="preserve">            sr_paddr_dat[166]   &lt;= 24'h0;</v>
      </c>
    </row>
    <row r="1938" spans="1:2" x14ac:dyDescent="0.3">
      <c r="B1938" t="s">
        <v>2</v>
      </c>
    </row>
    <row r="1939" spans="1:2" x14ac:dyDescent="0.3">
      <c r="B1939" t="str">
        <f>"           if (PADDR_CNT == 7'd"&amp;A1934&amp;")"</f>
        <v xml:space="preserve">           if (PADDR_CNT == 7'd166)</v>
      </c>
    </row>
    <row r="1940" spans="1:2" x14ac:dyDescent="0.3">
      <c r="B1940" t="str">
        <f>"               sr_paddr_dat["&amp;A1934&amp;"]  &lt;= sr_page_paddr_buf;"</f>
        <v xml:space="preserve">               sr_paddr_dat[166]  &lt;= sr_page_paddr_buf;</v>
      </c>
    </row>
    <row r="1941" spans="1:2" x14ac:dyDescent="0.3">
      <c r="B1941" t="s">
        <v>3</v>
      </c>
    </row>
    <row r="1942" spans="1:2" x14ac:dyDescent="0.3">
      <c r="B1942" t="str">
        <f>"               sr_paddr_dat["&amp;A1934&amp;"]  &lt;= sr_paddr_dat["&amp;A1934&amp;"];"</f>
        <v xml:space="preserve">               sr_paddr_dat[166]  &lt;= sr_paddr_dat[166];</v>
      </c>
    </row>
    <row r="1943" spans="1:2" x14ac:dyDescent="0.3">
      <c r="B1943" t="s">
        <v>4</v>
      </c>
    </row>
    <row r="1944" spans="1:2" x14ac:dyDescent="0.3">
      <c r="B1944" t="s">
        <v>5</v>
      </c>
    </row>
    <row r="1946" spans="1:2" x14ac:dyDescent="0.3">
      <c r="A1946">
        <f>A1934+1</f>
        <v>167</v>
      </c>
      <c r="B1946" t="str">
        <f>"    // Page Address Resister"&amp;A1946</f>
        <v xml:space="preserve">    // Page Address Resister167</v>
      </c>
    </row>
    <row r="1947" spans="1:2" x14ac:dyDescent="0.3">
      <c r="A1947" t="str">
        <f>DEC2HEX(A1946)</f>
        <v>A7</v>
      </c>
      <c r="B1947" t="s">
        <v>0</v>
      </c>
    </row>
    <row r="1948" spans="1:2" x14ac:dyDescent="0.3">
      <c r="B1948" t="s">
        <v>1</v>
      </c>
    </row>
    <row r="1949" spans="1:2" x14ac:dyDescent="0.3">
      <c r="B1949" t="str">
        <f>"            sr_paddr_dat["&amp;A1946&amp;"]   &lt;= 24'h0;"</f>
        <v xml:space="preserve">            sr_paddr_dat[167]   &lt;= 24'h0;</v>
      </c>
    </row>
    <row r="1950" spans="1:2" x14ac:dyDescent="0.3">
      <c r="B1950" t="s">
        <v>2</v>
      </c>
    </row>
    <row r="1951" spans="1:2" x14ac:dyDescent="0.3">
      <c r="B1951" t="str">
        <f>"           if (PADDR_CNT == 7'd"&amp;A1946&amp;")"</f>
        <v xml:space="preserve">           if (PADDR_CNT == 7'd167)</v>
      </c>
    </row>
    <row r="1952" spans="1:2" x14ac:dyDescent="0.3">
      <c r="B1952" t="str">
        <f>"               sr_paddr_dat["&amp;A1946&amp;"]  &lt;= sr_page_paddr_buf;"</f>
        <v xml:space="preserve">               sr_paddr_dat[167]  &lt;= sr_page_paddr_buf;</v>
      </c>
    </row>
    <row r="1953" spans="1:2" x14ac:dyDescent="0.3">
      <c r="B1953" t="s">
        <v>3</v>
      </c>
    </row>
    <row r="1954" spans="1:2" x14ac:dyDescent="0.3">
      <c r="B1954" t="str">
        <f>"               sr_paddr_dat["&amp;A1946&amp;"]  &lt;= sr_paddr_dat["&amp;A1946&amp;"];"</f>
        <v xml:space="preserve">               sr_paddr_dat[167]  &lt;= sr_paddr_dat[167];</v>
      </c>
    </row>
    <row r="1955" spans="1:2" x14ac:dyDescent="0.3">
      <c r="B1955" t="s">
        <v>4</v>
      </c>
    </row>
    <row r="1956" spans="1:2" x14ac:dyDescent="0.3">
      <c r="B1956" t="s">
        <v>5</v>
      </c>
    </row>
    <row r="1958" spans="1:2" x14ac:dyDescent="0.3">
      <c r="A1958">
        <f>A1946+1</f>
        <v>168</v>
      </c>
      <c r="B1958" t="str">
        <f>"    // Page Address Resister"&amp;A1958</f>
        <v xml:space="preserve">    // Page Address Resister168</v>
      </c>
    </row>
    <row r="1959" spans="1:2" x14ac:dyDescent="0.3">
      <c r="A1959" t="str">
        <f>DEC2HEX(A1958)</f>
        <v>A8</v>
      </c>
      <c r="B1959" t="s">
        <v>0</v>
      </c>
    </row>
    <row r="1960" spans="1:2" x14ac:dyDescent="0.3">
      <c r="B1960" t="s">
        <v>1</v>
      </c>
    </row>
    <row r="1961" spans="1:2" x14ac:dyDescent="0.3">
      <c r="B1961" t="str">
        <f>"            sr_paddr_dat["&amp;A1958&amp;"]   &lt;= 24'h0;"</f>
        <v xml:space="preserve">            sr_paddr_dat[168]   &lt;= 24'h0;</v>
      </c>
    </row>
    <row r="1962" spans="1:2" x14ac:dyDescent="0.3">
      <c r="B1962" t="s">
        <v>2</v>
      </c>
    </row>
    <row r="1963" spans="1:2" x14ac:dyDescent="0.3">
      <c r="B1963" t="str">
        <f>"           if (PADDR_CNT == 7'd"&amp;A1958&amp;")"</f>
        <v xml:space="preserve">           if (PADDR_CNT == 7'd168)</v>
      </c>
    </row>
    <row r="1964" spans="1:2" x14ac:dyDescent="0.3">
      <c r="B1964" t="str">
        <f>"               sr_paddr_dat["&amp;A1958&amp;"]  &lt;= sr_page_paddr_buf;"</f>
        <v xml:space="preserve">               sr_paddr_dat[168]  &lt;= sr_page_paddr_buf;</v>
      </c>
    </row>
    <row r="1965" spans="1:2" x14ac:dyDescent="0.3">
      <c r="B1965" t="s">
        <v>3</v>
      </c>
    </row>
    <row r="1966" spans="1:2" x14ac:dyDescent="0.3">
      <c r="B1966" t="str">
        <f>"               sr_paddr_dat["&amp;A1958&amp;"]  &lt;= sr_paddr_dat["&amp;A1958&amp;"];"</f>
        <v xml:space="preserve">               sr_paddr_dat[168]  &lt;= sr_paddr_dat[168];</v>
      </c>
    </row>
    <row r="1967" spans="1:2" x14ac:dyDescent="0.3">
      <c r="B1967" t="s">
        <v>4</v>
      </c>
    </row>
    <row r="1968" spans="1:2" x14ac:dyDescent="0.3">
      <c r="B1968" t="s">
        <v>5</v>
      </c>
    </row>
    <row r="1970" spans="1:2" x14ac:dyDescent="0.3">
      <c r="A1970">
        <f>A1958+1</f>
        <v>169</v>
      </c>
      <c r="B1970" t="str">
        <f>"    // Page Address Resister"&amp;A1970</f>
        <v xml:space="preserve">    // Page Address Resister169</v>
      </c>
    </row>
    <row r="1971" spans="1:2" x14ac:dyDescent="0.3">
      <c r="A1971" t="str">
        <f>DEC2HEX(A1970)</f>
        <v>A9</v>
      </c>
      <c r="B1971" t="s">
        <v>0</v>
      </c>
    </row>
    <row r="1972" spans="1:2" x14ac:dyDescent="0.3">
      <c r="B1972" t="s">
        <v>1</v>
      </c>
    </row>
    <row r="1973" spans="1:2" x14ac:dyDescent="0.3">
      <c r="B1973" t="str">
        <f>"            sr_paddr_dat["&amp;A1970&amp;"]   &lt;= 24'h0;"</f>
        <v xml:space="preserve">            sr_paddr_dat[169]   &lt;= 24'h0;</v>
      </c>
    </row>
    <row r="1974" spans="1:2" x14ac:dyDescent="0.3">
      <c r="B1974" t="s">
        <v>2</v>
      </c>
    </row>
    <row r="1975" spans="1:2" x14ac:dyDescent="0.3">
      <c r="B1975" t="str">
        <f>"           if (PADDR_CNT == 7'd"&amp;A1970&amp;")"</f>
        <v xml:space="preserve">           if (PADDR_CNT == 7'd169)</v>
      </c>
    </row>
    <row r="1976" spans="1:2" x14ac:dyDescent="0.3">
      <c r="B1976" t="str">
        <f>"               sr_paddr_dat["&amp;A1970&amp;"]  &lt;= sr_page_paddr_buf;"</f>
        <v xml:space="preserve">               sr_paddr_dat[169]  &lt;= sr_page_paddr_buf;</v>
      </c>
    </row>
    <row r="1977" spans="1:2" x14ac:dyDescent="0.3">
      <c r="B1977" t="s">
        <v>3</v>
      </c>
    </row>
    <row r="1978" spans="1:2" x14ac:dyDescent="0.3">
      <c r="B1978" t="str">
        <f>"               sr_paddr_dat["&amp;A1970&amp;"]  &lt;= sr_paddr_dat["&amp;A1970&amp;"];"</f>
        <v xml:space="preserve">               sr_paddr_dat[169]  &lt;= sr_paddr_dat[169];</v>
      </c>
    </row>
    <row r="1979" spans="1:2" x14ac:dyDescent="0.3">
      <c r="B1979" t="s">
        <v>4</v>
      </c>
    </row>
    <row r="1980" spans="1:2" x14ac:dyDescent="0.3">
      <c r="B1980" t="s">
        <v>5</v>
      </c>
    </row>
    <row r="1982" spans="1:2" x14ac:dyDescent="0.3">
      <c r="A1982">
        <f>A1970+1</f>
        <v>170</v>
      </c>
      <c r="B1982" t="str">
        <f>"    // Page Address Resister"&amp;A1982</f>
        <v xml:space="preserve">    // Page Address Resister170</v>
      </c>
    </row>
    <row r="1983" spans="1:2" x14ac:dyDescent="0.3">
      <c r="A1983" t="str">
        <f>DEC2HEX(A1982)</f>
        <v>AA</v>
      </c>
      <c r="B1983" t="s">
        <v>0</v>
      </c>
    </row>
    <row r="1984" spans="1:2" x14ac:dyDescent="0.3">
      <c r="B1984" t="s">
        <v>1</v>
      </c>
    </row>
    <row r="1985" spans="1:2" x14ac:dyDescent="0.3">
      <c r="B1985" t="str">
        <f>"            sr_paddr_dat["&amp;A1982&amp;"]   &lt;= 24'h0;"</f>
        <v xml:space="preserve">            sr_paddr_dat[170]   &lt;= 24'h0;</v>
      </c>
    </row>
    <row r="1986" spans="1:2" x14ac:dyDescent="0.3">
      <c r="B1986" t="s">
        <v>2</v>
      </c>
    </row>
    <row r="1987" spans="1:2" x14ac:dyDescent="0.3">
      <c r="B1987" t="str">
        <f>"           if (PADDR_CNT == 7'd"&amp;A1982&amp;")"</f>
        <v xml:space="preserve">           if (PADDR_CNT == 7'd170)</v>
      </c>
    </row>
    <row r="1988" spans="1:2" x14ac:dyDescent="0.3">
      <c r="B1988" t="str">
        <f>"               sr_paddr_dat["&amp;A1982&amp;"]  &lt;= sr_page_paddr_buf;"</f>
        <v xml:space="preserve">               sr_paddr_dat[170]  &lt;= sr_page_paddr_buf;</v>
      </c>
    </row>
    <row r="1989" spans="1:2" x14ac:dyDescent="0.3">
      <c r="B1989" t="s">
        <v>3</v>
      </c>
    </row>
    <row r="1990" spans="1:2" x14ac:dyDescent="0.3">
      <c r="B1990" t="str">
        <f>"               sr_paddr_dat["&amp;A1982&amp;"]  &lt;= sr_paddr_dat["&amp;A1982&amp;"];"</f>
        <v xml:space="preserve">               sr_paddr_dat[170]  &lt;= sr_paddr_dat[170];</v>
      </c>
    </row>
    <row r="1991" spans="1:2" x14ac:dyDescent="0.3">
      <c r="B1991" t="s">
        <v>4</v>
      </c>
    </row>
    <row r="1992" spans="1:2" x14ac:dyDescent="0.3">
      <c r="B1992" t="s">
        <v>5</v>
      </c>
    </row>
    <row r="1994" spans="1:2" x14ac:dyDescent="0.3">
      <c r="A1994">
        <f>A1982+1</f>
        <v>171</v>
      </c>
      <c r="B1994" t="str">
        <f>"    // Page Address Resister"&amp;A1994</f>
        <v xml:space="preserve">    // Page Address Resister171</v>
      </c>
    </row>
    <row r="1995" spans="1:2" x14ac:dyDescent="0.3">
      <c r="A1995" t="str">
        <f>DEC2HEX(A1994)</f>
        <v>AB</v>
      </c>
      <c r="B1995" t="s">
        <v>0</v>
      </c>
    </row>
    <row r="1996" spans="1:2" x14ac:dyDescent="0.3">
      <c r="B1996" t="s">
        <v>1</v>
      </c>
    </row>
    <row r="1997" spans="1:2" x14ac:dyDescent="0.3">
      <c r="B1997" t="str">
        <f>"            sr_paddr_dat["&amp;A1994&amp;"]   &lt;= 24'h0;"</f>
        <v xml:space="preserve">            sr_paddr_dat[171]   &lt;= 24'h0;</v>
      </c>
    </row>
    <row r="1998" spans="1:2" x14ac:dyDescent="0.3">
      <c r="B1998" t="s">
        <v>2</v>
      </c>
    </row>
    <row r="1999" spans="1:2" x14ac:dyDescent="0.3">
      <c r="B1999" t="str">
        <f>"           if (PADDR_CNT == 7'd"&amp;A1994&amp;")"</f>
        <v xml:space="preserve">           if (PADDR_CNT == 7'd171)</v>
      </c>
    </row>
    <row r="2000" spans="1:2" x14ac:dyDescent="0.3">
      <c r="B2000" t="str">
        <f>"               sr_paddr_dat["&amp;A1994&amp;"]  &lt;= sr_page_paddr_buf;"</f>
        <v xml:space="preserve">               sr_paddr_dat[171]  &lt;= sr_page_paddr_buf;</v>
      </c>
    </row>
    <row r="2001" spans="1:2" x14ac:dyDescent="0.3">
      <c r="B2001" t="s">
        <v>3</v>
      </c>
    </row>
    <row r="2002" spans="1:2" x14ac:dyDescent="0.3">
      <c r="B2002" t="str">
        <f>"               sr_paddr_dat["&amp;A1994&amp;"]  &lt;= sr_paddr_dat["&amp;A1994&amp;"];"</f>
        <v xml:space="preserve">               sr_paddr_dat[171]  &lt;= sr_paddr_dat[171];</v>
      </c>
    </row>
    <row r="2003" spans="1:2" x14ac:dyDescent="0.3">
      <c r="B2003" t="s">
        <v>4</v>
      </c>
    </row>
    <row r="2004" spans="1:2" x14ac:dyDescent="0.3">
      <c r="B2004" t="s">
        <v>5</v>
      </c>
    </row>
    <row r="2006" spans="1:2" x14ac:dyDescent="0.3">
      <c r="A2006">
        <f>A1994+1</f>
        <v>172</v>
      </c>
      <c r="B2006" t="str">
        <f>"    // Page Address Resister"&amp;A2006</f>
        <v xml:space="preserve">    // Page Address Resister172</v>
      </c>
    </row>
    <row r="2007" spans="1:2" x14ac:dyDescent="0.3">
      <c r="A2007" t="str">
        <f>DEC2HEX(A2006)</f>
        <v>AC</v>
      </c>
      <c r="B2007" t="s">
        <v>0</v>
      </c>
    </row>
    <row r="2008" spans="1:2" x14ac:dyDescent="0.3">
      <c r="B2008" t="s">
        <v>1</v>
      </c>
    </row>
    <row r="2009" spans="1:2" x14ac:dyDescent="0.3">
      <c r="B2009" t="str">
        <f>"            sr_paddr_dat["&amp;A2006&amp;"]   &lt;= 24'h0;"</f>
        <v xml:space="preserve">            sr_paddr_dat[172]   &lt;= 24'h0;</v>
      </c>
    </row>
    <row r="2010" spans="1:2" x14ac:dyDescent="0.3">
      <c r="B2010" t="s">
        <v>2</v>
      </c>
    </row>
    <row r="2011" spans="1:2" x14ac:dyDescent="0.3">
      <c r="B2011" t="str">
        <f>"           if (PADDR_CNT == 7'd"&amp;A2006&amp;")"</f>
        <v xml:space="preserve">           if (PADDR_CNT == 7'd172)</v>
      </c>
    </row>
    <row r="2012" spans="1:2" x14ac:dyDescent="0.3">
      <c r="B2012" t="str">
        <f>"               sr_paddr_dat["&amp;A2006&amp;"]  &lt;= sr_page_paddr_buf;"</f>
        <v xml:space="preserve">               sr_paddr_dat[172]  &lt;= sr_page_paddr_buf;</v>
      </c>
    </row>
    <row r="2013" spans="1:2" x14ac:dyDescent="0.3">
      <c r="B2013" t="s">
        <v>3</v>
      </c>
    </row>
    <row r="2014" spans="1:2" x14ac:dyDescent="0.3">
      <c r="B2014" t="str">
        <f>"               sr_paddr_dat["&amp;A2006&amp;"]  &lt;= sr_paddr_dat["&amp;A2006&amp;"];"</f>
        <v xml:space="preserve">               sr_paddr_dat[172]  &lt;= sr_paddr_dat[172];</v>
      </c>
    </row>
    <row r="2015" spans="1:2" x14ac:dyDescent="0.3">
      <c r="B2015" t="s">
        <v>4</v>
      </c>
    </row>
    <row r="2016" spans="1:2" x14ac:dyDescent="0.3">
      <c r="B2016" t="s">
        <v>5</v>
      </c>
    </row>
    <row r="2018" spans="1:2" x14ac:dyDescent="0.3">
      <c r="A2018">
        <f>A2006+1</f>
        <v>173</v>
      </c>
      <c r="B2018" t="str">
        <f>"    // Page Address Resister"&amp;A2018</f>
        <v xml:space="preserve">    // Page Address Resister173</v>
      </c>
    </row>
    <row r="2019" spans="1:2" x14ac:dyDescent="0.3">
      <c r="A2019" t="str">
        <f>DEC2HEX(A2018)</f>
        <v>AD</v>
      </c>
      <c r="B2019" t="s">
        <v>0</v>
      </c>
    </row>
    <row r="2020" spans="1:2" x14ac:dyDescent="0.3">
      <c r="B2020" t="s">
        <v>1</v>
      </c>
    </row>
    <row r="2021" spans="1:2" x14ac:dyDescent="0.3">
      <c r="B2021" t="str">
        <f>"            sr_paddr_dat["&amp;A2018&amp;"]   &lt;= 24'h0;"</f>
        <v xml:space="preserve">            sr_paddr_dat[173]   &lt;= 24'h0;</v>
      </c>
    </row>
    <row r="2022" spans="1:2" x14ac:dyDescent="0.3">
      <c r="B2022" t="s">
        <v>2</v>
      </c>
    </row>
    <row r="2023" spans="1:2" x14ac:dyDescent="0.3">
      <c r="B2023" t="str">
        <f>"           if (PADDR_CNT == 7'd"&amp;A2018&amp;")"</f>
        <v xml:space="preserve">           if (PADDR_CNT == 7'd173)</v>
      </c>
    </row>
    <row r="2024" spans="1:2" x14ac:dyDescent="0.3">
      <c r="B2024" t="str">
        <f>"               sr_paddr_dat["&amp;A2018&amp;"]  &lt;= sr_page_paddr_buf;"</f>
        <v xml:space="preserve">               sr_paddr_dat[173]  &lt;= sr_page_paddr_buf;</v>
      </c>
    </row>
    <row r="2025" spans="1:2" x14ac:dyDescent="0.3">
      <c r="B2025" t="s">
        <v>3</v>
      </c>
    </row>
    <row r="2026" spans="1:2" x14ac:dyDescent="0.3">
      <c r="B2026" t="str">
        <f>"               sr_paddr_dat["&amp;A2018&amp;"]  &lt;= sr_paddr_dat["&amp;A2018&amp;"];"</f>
        <v xml:space="preserve">               sr_paddr_dat[173]  &lt;= sr_paddr_dat[173];</v>
      </c>
    </row>
    <row r="2027" spans="1:2" x14ac:dyDescent="0.3">
      <c r="B2027" t="s">
        <v>4</v>
      </c>
    </row>
    <row r="2028" spans="1:2" x14ac:dyDescent="0.3">
      <c r="B2028" t="s">
        <v>5</v>
      </c>
    </row>
    <row r="2030" spans="1:2" x14ac:dyDescent="0.3">
      <c r="A2030">
        <f>A2018+1</f>
        <v>174</v>
      </c>
      <c r="B2030" t="str">
        <f>"    // Page Address Resister"&amp;A2030</f>
        <v xml:space="preserve">    // Page Address Resister174</v>
      </c>
    </row>
    <row r="2031" spans="1:2" x14ac:dyDescent="0.3">
      <c r="A2031" t="str">
        <f>DEC2HEX(A2030)</f>
        <v>AE</v>
      </c>
      <c r="B2031" t="s">
        <v>0</v>
      </c>
    </row>
    <row r="2032" spans="1:2" x14ac:dyDescent="0.3">
      <c r="B2032" t="s">
        <v>1</v>
      </c>
    </row>
    <row r="2033" spans="1:2" x14ac:dyDescent="0.3">
      <c r="B2033" t="str">
        <f>"            sr_paddr_dat["&amp;A2030&amp;"]   &lt;= 24'h0;"</f>
        <v xml:space="preserve">            sr_paddr_dat[174]   &lt;= 24'h0;</v>
      </c>
    </row>
    <row r="2034" spans="1:2" x14ac:dyDescent="0.3">
      <c r="B2034" t="s">
        <v>2</v>
      </c>
    </row>
    <row r="2035" spans="1:2" x14ac:dyDescent="0.3">
      <c r="B2035" t="str">
        <f>"           if (PADDR_CNT == 7'd"&amp;A2030&amp;")"</f>
        <v xml:space="preserve">           if (PADDR_CNT == 7'd174)</v>
      </c>
    </row>
    <row r="2036" spans="1:2" x14ac:dyDescent="0.3">
      <c r="B2036" t="str">
        <f>"               sr_paddr_dat["&amp;A2030&amp;"]  &lt;= sr_page_paddr_buf;"</f>
        <v xml:space="preserve">               sr_paddr_dat[174]  &lt;= sr_page_paddr_buf;</v>
      </c>
    </row>
    <row r="2037" spans="1:2" x14ac:dyDescent="0.3">
      <c r="B2037" t="s">
        <v>3</v>
      </c>
    </row>
    <row r="2038" spans="1:2" x14ac:dyDescent="0.3">
      <c r="B2038" t="str">
        <f>"               sr_paddr_dat["&amp;A2030&amp;"]  &lt;= sr_paddr_dat["&amp;A2030&amp;"];"</f>
        <v xml:space="preserve">               sr_paddr_dat[174]  &lt;= sr_paddr_dat[174];</v>
      </c>
    </row>
    <row r="2039" spans="1:2" x14ac:dyDescent="0.3">
      <c r="B2039" t="s">
        <v>4</v>
      </c>
    </row>
    <row r="2040" spans="1:2" x14ac:dyDescent="0.3">
      <c r="B2040" t="s">
        <v>5</v>
      </c>
    </row>
    <row r="2042" spans="1:2" x14ac:dyDescent="0.3">
      <c r="A2042">
        <f>A2030+1</f>
        <v>175</v>
      </c>
      <c r="B2042" t="str">
        <f>"    // Page Address Resister"&amp;A2042</f>
        <v xml:space="preserve">    // Page Address Resister175</v>
      </c>
    </row>
    <row r="2043" spans="1:2" x14ac:dyDescent="0.3">
      <c r="A2043" t="str">
        <f>DEC2HEX(A2042)</f>
        <v>AF</v>
      </c>
      <c r="B2043" t="s">
        <v>0</v>
      </c>
    </row>
    <row r="2044" spans="1:2" x14ac:dyDescent="0.3">
      <c r="B2044" t="s">
        <v>1</v>
      </c>
    </row>
    <row r="2045" spans="1:2" x14ac:dyDescent="0.3">
      <c r="B2045" t="str">
        <f>"            sr_paddr_dat["&amp;A2042&amp;"]   &lt;= 24'h0;"</f>
        <v xml:space="preserve">            sr_paddr_dat[175]   &lt;= 24'h0;</v>
      </c>
    </row>
    <row r="2046" spans="1:2" x14ac:dyDescent="0.3">
      <c r="B2046" t="s">
        <v>2</v>
      </c>
    </row>
    <row r="2047" spans="1:2" x14ac:dyDescent="0.3">
      <c r="B2047" t="str">
        <f>"           if (PADDR_CNT == 7'd"&amp;A2042&amp;")"</f>
        <v xml:space="preserve">           if (PADDR_CNT == 7'd175)</v>
      </c>
    </row>
    <row r="2048" spans="1:2" x14ac:dyDescent="0.3">
      <c r="B2048" t="str">
        <f>"               sr_paddr_dat["&amp;A2042&amp;"]  &lt;= sr_page_paddr_buf;"</f>
        <v xml:space="preserve">               sr_paddr_dat[175]  &lt;= sr_page_paddr_buf;</v>
      </c>
    </row>
    <row r="2049" spans="1:2" x14ac:dyDescent="0.3">
      <c r="B2049" t="s">
        <v>3</v>
      </c>
    </row>
    <row r="2050" spans="1:2" x14ac:dyDescent="0.3">
      <c r="B2050" t="str">
        <f>"               sr_paddr_dat["&amp;A2042&amp;"]  &lt;= sr_paddr_dat["&amp;A2042&amp;"];"</f>
        <v xml:space="preserve">               sr_paddr_dat[175]  &lt;= sr_paddr_dat[175];</v>
      </c>
    </row>
    <row r="2051" spans="1:2" x14ac:dyDescent="0.3">
      <c r="B2051" t="s">
        <v>4</v>
      </c>
    </row>
    <row r="2052" spans="1:2" x14ac:dyDescent="0.3">
      <c r="B2052" t="s">
        <v>5</v>
      </c>
    </row>
    <row r="2054" spans="1:2" x14ac:dyDescent="0.3">
      <c r="A2054">
        <f>A2042+1</f>
        <v>176</v>
      </c>
      <c r="B2054" t="str">
        <f>"    // Page Address Resister"&amp;A2054</f>
        <v xml:space="preserve">    // Page Address Resister176</v>
      </c>
    </row>
    <row r="2055" spans="1:2" x14ac:dyDescent="0.3">
      <c r="A2055" t="str">
        <f>DEC2HEX(A2054)</f>
        <v>B0</v>
      </c>
      <c r="B2055" t="s">
        <v>0</v>
      </c>
    </row>
    <row r="2056" spans="1:2" x14ac:dyDescent="0.3">
      <c r="B2056" t="s">
        <v>1</v>
      </c>
    </row>
    <row r="2057" spans="1:2" x14ac:dyDescent="0.3">
      <c r="B2057" t="str">
        <f>"            sr_paddr_dat["&amp;A2054&amp;"]   &lt;= 24'h0;"</f>
        <v xml:space="preserve">            sr_paddr_dat[176]   &lt;= 24'h0;</v>
      </c>
    </row>
    <row r="2058" spans="1:2" x14ac:dyDescent="0.3">
      <c r="B2058" t="s">
        <v>2</v>
      </c>
    </row>
    <row r="2059" spans="1:2" x14ac:dyDescent="0.3">
      <c r="B2059" t="str">
        <f>"           if (PADDR_CNT == 7'd"&amp;A2054&amp;")"</f>
        <v xml:space="preserve">           if (PADDR_CNT == 7'd176)</v>
      </c>
    </row>
    <row r="2060" spans="1:2" x14ac:dyDescent="0.3">
      <c r="B2060" t="str">
        <f>"               sr_paddr_dat["&amp;A2054&amp;"]  &lt;= sr_page_paddr_buf;"</f>
        <v xml:space="preserve">               sr_paddr_dat[176]  &lt;= sr_page_paddr_buf;</v>
      </c>
    </row>
    <row r="2061" spans="1:2" x14ac:dyDescent="0.3">
      <c r="B2061" t="s">
        <v>3</v>
      </c>
    </row>
    <row r="2062" spans="1:2" x14ac:dyDescent="0.3">
      <c r="B2062" t="str">
        <f>"               sr_paddr_dat["&amp;A2054&amp;"]  &lt;= sr_paddr_dat["&amp;A2054&amp;"];"</f>
        <v xml:space="preserve">               sr_paddr_dat[176]  &lt;= sr_paddr_dat[176];</v>
      </c>
    </row>
    <row r="2063" spans="1:2" x14ac:dyDescent="0.3">
      <c r="B2063" t="s">
        <v>4</v>
      </c>
    </row>
    <row r="2064" spans="1:2" x14ac:dyDescent="0.3">
      <c r="B2064" t="s">
        <v>5</v>
      </c>
    </row>
    <row r="2066" spans="1:2" x14ac:dyDescent="0.3">
      <c r="A2066">
        <f>A2054+1</f>
        <v>177</v>
      </c>
      <c r="B2066" t="str">
        <f>"    // Page Address Resister"&amp;A2066</f>
        <v xml:space="preserve">    // Page Address Resister177</v>
      </c>
    </row>
    <row r="2067" spans="1:2" x14ac:dyDescent="0.3">
      <c r="A2067" t="str">
        <f>DEC2HEX(A2066)</f>
        <v>B1</v>
      </c>
      <c r="B2067" t="s">
        <v>0</v>
      </c>
    </row>
    <row r="2068" spans="1:2" x14ac:dyDescent="0.3">
      <c r="B2068" t="s">
        <v>1</v>
      </c>
    </row>
    <row r="2069" spans="1:2" x14ac:dyDescent="0.3">
      <c r="B2069" t="str">
        <f>"            sr_paddr_dat["&amp;A2066&amp;"]   &lt;= 24'h0;"</f>
        <v xml:space="preserve">            sr_paddr_dat[177]   &lt;= 24'h0;</v>
      </c>
    </row>
    <row r="2070" spans="1:2" x14ac:dyDescent="0.3">
      <c r="B2070" t="s">
        <v>2</v>
      </c>
    </row>
    <row r="2071" spans="1:2" x14ac:dyDescent="0.3">
      <c r="B2071" t="str">
        <f>"           if (PADDR_CNT == 7'd"&amp;A2066&amp;")"</f>
        <v xml:space="preserve">           if (PADDR_CNT == 7'd177)</v>
      </c>
    </row>
    <row r="2072" spans="1:2" x14ac:dyDescent="0.3">
      <c r="B2072" t="str">
        <f>"               sr_paddr_dat["&amp;A2066&amp;"]  &lt;= sr_page_paddr_buf;"</f>
        <v xml:space="preserve">               sr_paddr_dat[177]  &lt;= sr_page_paddr_buf;</v>
      </c>
    </row>
    <row r="2073" spans="1:2" x14ac:dyDescent="0.3">
      <c r="B2073" t="s">
        <v>3</v>
      </c>
    </row>
    <row r="2074" spans="1:2" x14ac:dyDescent="0.3">
      <c r="B2074" t="str">
        <f>"               sr_paddr_dat["&amp;A2066&amp;"]  &lt;= sr_paddr_dat["&amp;A2066&amp;"];"</f>
        <v xml:space="preserve">               sr_paddr_dat[177]  &lt;= sr_paddr_dat[177];</v>
      </c>
    </row>
    <row r="2075" spans="1:2" x14ac:dyDescent="0.3">
      <c r="B2075" t="s">
        <v>4</v>
      </c>
    </row>
    <row r="2076" spans="1:2" x14ac:dyDescent="0.3">
      <c r="B2076" t="s">
        <v>5</v>
      </c>
    </row>
    <row r="2078" spans="1:2" x14ac:dyDescent="0.3">
      <c r="A2078">
        <f>A2066+1</f>
        <v>178</v>
      </c>
      <c r="B2078" t="str">
        <f>"    // Page Address Resister"&amp;A2078</f>
        <v xml:space="preserve">    // Page Address Resister178</v>
      </c>
    </row>
    <row r="2079" spans="1:2" x14ac:dyDescent="0.3">
      <c r="A2079" t="str">
        <f>DEC2HEX(A2078)</f>
        <v>B2</v>
      </c>
      <c r="B2079" t="s">
        <v>0</v>
      </c>
    </row>
    <row r="2080" spans="1:2" x14ac:dyDescent="0.3">
      <c r="B2080" t="s">
        <v>1</v>
      </c>
    </row>
    <row r="2081" spans="1:2" x14ac:dyDescent="0.3">
      <c r="B2081" t="str">
        <f>"            sr_paddr_dat["&amp;A2078&amp;"]   &lt;= 24'h0;"</f>
        <v xml:space="preserve">            sr_paddr_dat[178]   &lt;= 24'h0;</v>
      </c>
    </row>
    <row r="2082" spans="1:2" x14ac:dyDescent="0.3">
      <c r="B2082" t="s">
        <v>2</v>
      </c>
    </row>
    <row r="2083" spans="1:2" x14ac:dyDescent="0.3">
      <c r="B2083" t="str">
        <f>"           if (PADDR_CNT == 7'd"&amp;A2078&amp;")"</f>
        <v xml:space="preserve">           if (PADDR_CNT == 7'd178)</v>
      </c>
    </row>
    <row r="2084" spans="1:2" x14ac:dyDescent="0.3">
      <c r="B2084" t="str">
        <f>"               sr_paddr_dat["&amp;A2078&amp;"]  &lt;= sr_page_paddr_buf;"</f>
        <v xml:space="preserve">               sr_paddr_dat[178]  &lt;= sr_page_paddr_buf;</v>
      </c>
    </row>
    <row r="2085" spans="1:2" x14ac:dyDescent="0.3">
      <c r="B2085" t="s">
        <v>3</v>
      </c>
    </row>
    <row r="2086" spans="1:2" x14ac:dyDescent="0.3">
      <c r="B2086" t="str">
        <f>"               sr_paddr_dat["&amp;A2078&amp;"]  &lt;= sr_paddr_dat["&amp;A2078&amp;"];"</f>
        <v xml:space="preserve">               sr_paddr_dat[178]  &lt;= sr_paddr_dat[178];</v>
      </c>
    </row>
    <row r="2087" spans="1:2" x14ac:dyDescent="0.3">
      <c r="B2087" t="s">
        <v>4</v>
      </c>
    </row>
    <row r="2088" spans="1:2" x14ac:dyDescent="0.3">
      <c r="B2088" t="s">
        <v>5</v>
      </c>
    </row>
    <row r="2090" spans="1:2" x14ac:dyDescent="0.3">
      <c r="A2090">
        <f>A2078+1</f>
        <v>179</v>
      </c>
      <c r="B2090" t="str">
        <f>"    // Page Address Resister"&amp;A2090</f>
        <v xml:space="preserve">    // Page Address Resister179</v>
      </c>
    </row>
    <row r="2091" spans="1:2" x14ac:dyDescent="0.3">
      <c r="A2091" t="str">
        <f>DEC2HEX(A2090)</f>
        <v>B3</v>
      </c>
      <c r="B2091" t="s">
        <v>0</v>
      </c>
    </row>
    <row r="2092" spans="1:2" x14ac:dyDescent="0.3">
      <c r="B2092" t="s">
        <v>1</v>
      </c>
    </row>
    <row r="2093" spans="1:2" x14ac:dyDescent="0.3">
      <c r="B2093" t="str">
        <f>"            sr_paddr_dat["&amp;A2090&amp;"]   &lt;= 24'h0;"</f>
        <v xml:space="preserve">            sr_paddr_dat[179]   &lt;= 24'h0;</v>
      </c>
    </row>
    <row r="2094" spans="1:2" x14ac:dyDescent="0.3">
      <c r="B2094" t="s">
        <v>2</v>
      </c>
    </row>
    <row r="2095" spans="1:2" x14ac:dyDescent="0.3">
      <c r="B2095" t="str">
        <f>"           if (PADDR_CNT == 7'd"&amp;A2090&amp;")"</f>
        <v xml:space="preserve">           if (PADDR_CNT == 7'd179)</v>
      </c>
    </row>
    <row r="2096" spans="1:2" x14ac:dyDescent="0.3">
      <c r="B2096" t="str">
        <f>"               sr_paddr_dat["&amp;A2090&amp;"]  &lt;= sr_page_paddr_buf;"</f>
        <v xml:space="preserve">               sr_paddr_dat[179]  &lt;= sr_page_paddr_buf;</v>
      </c>
    </row>
    <row r="2097" spans="1:2" x14ac:dyDescent="0.3">
      <c r="B2097" t="s">
        <v>3</v>
      </c>
    </row>
    <row r="2098" spans="1:2" x14ac:dyDescent="0.3">
      <c r="B2098" t="str">
        <f>"               sr_paddr_dat["&amp;A2090&amp;"]  &lt;= sr_paddr_dat["&amp;A2090&amp;"];"</f>
        <v xml:space="preserve">               sr_paddr_dat[179]  &lt;= sr_paddr_dat[179];</v>
      </c>
    </row>
    <row r="2099" spans="1:2" x14ac:dyDescent="0.3">
      <c r="B2099" t="s">
        <v>4</v>
      </c>
    </row>
    <row r="2100" spans="1:2" x14ac:dyDescent="0.3">
      <c r="B2100" t="s">
        <v>5</v>
      </c>
    </row>
    <row r="2102" spans="1:2" x14ac:dyDescent="0.3">
      <c r="A2102">
        <f>A2090+1</f>
        <v>180</v>
      </c>
      <c r="B2102" t="str">
        <f>"    // Page Address Resister"&amp;A2102</f>
        <v xml:space="preserve">    // Page Address Resister180</v>
      </c>
    </row>
    <row r="2103" spans="1:2" x14ac:dyDescent="0.3">
      <c r="A2103" t="str">
        <f>DEC2HEX(A2102)</f>
        <v>B4</v>
      </c>
      <c r="B2103" t="s">
        <v>0</v>
      </c>
    </row>
    <row r="2104" spans="1:2" x14ac:dyDescent="0.3">
      <c r="B2104" t="s">
        <v>1</v>
      </c>
    </row>
    <row r="2105" spans="1:2" x14ac:dyDescent="0.3">
      <c r="B2105" t="str">
        <f>"            sr_paddr_dat["&amp;A2102&amp;"]   &lt;= 24'h0;"</f>
        <v xml:space="preserve">            sr_paddr_dat[180]   &lt;= 24'h0;</v>
      </c>
    </row>
    <row r="2106" spans="1:2" x14ac:dyDescent="0.3">
      <c r="B2106" t="s">
        <v>2</v>
      </c>
    </row>
    <row r="2107" spans="1:2" x14ac:dyDescent="0.3">
      <c r="B2107" t="str">
        <f>"           if (PADDR_CNT == 7'd"&amp;A2102&amp;")"</f>
        <v xml:space="preserve">           if (PADDR_CNT == 7'd180)</v>
      </c>
    </row>
    <row r="2108" spans="1:2" x14ac:dyDescent="0.3">
      <c r="B2108" t="str">
        <f>"               sr_paddr_dat["&amp;A2102&amp;"]  &lt;= sr_page_paddr_buf;"</f>
        <v xml:space="preserve">               sr_paddr_dat[180]  &lt;= sr_page_paddr_buf;</v>
      </c>
    </row>
    <row r="2109" spans="1:2" x14ac:dyDescent="0.3">
      <c r="B2109" t="s">
        <v>3</v>
      </c>
    </row>
    <row r="2110" spans="1:2" x14ac:dyDescent="0.3">
      <c r="B2110" t="str">
        <f>"               sr_paddr_dat["&amp;A2102&amp;"]  &lt;= sr_paddr_dat["&amp;A2102&amp;"];"</f>
        <v xml:space="preserve">               sr_paddr_dat[180]  &lt;= sr_paddr_dat[180];</v>
      </c>
    </row>
    <row r="2111" spans="1:2" x14ac:dyDescent="0.3">
      <c r="B2111" t="s">
        <v>4</v>
      </c>
    </row>
    <row r="2112" spans="1:2" x14ac:dyDescent="0.3">
      <c r="B2112" t="s">
        <v>5</v>
      </c>
    </row>
    <row r="2114" spans="1:2" x14ac:dyDescent="0.3">
      <c r="A2114">
        <f>A2102+1</f>
        <v>181</v>
      </c>
      <c r="B2114" t="str">
        <f>"    // Page Address Resister"&amp;A2114</f>
        <v xml:space="preserve">    // Page Address Resister181</v>
      </c>
    </row>
    <row r="2115" spans="1:2" x14ac:dyDescent="0.3">
      <c r="A2115" t="str">
        <f t="shared" ref="A2115" si="9">DEC2HEX(A2114)</f>
        <v>B5</v>
      </c>
      <c r="B2115" t="s">
        <v>0</v>
      </c>
    </row>
    <row r="2116" spans="1:2" x14ac:dyDescent="0.3">
      <c r="B2116" t="s">
        <v>1</v>
      </c>
    </row>
    <row r="2117" spans="1:2" x14ac:dyDescent="0.3">
      <c r="B2117" t="str">
        <f>"            sr_paddr_dat["&amp;A2114&amp;"]   &lt;= 24'h0;"</f>
        <v xml:space="preserve">            sr_paddr_dat[181]   &lt;= 24'h0;</v>
      </c>
    </row>
    <row r="2118" spans="1:2" x14ac:dyDescent="0.3">
      <c r="B2118" t="s">
        <v>2</v>
      </c>
    </row>
    <row r="2119" spans="1:2" x14ac:dyDescent="0.3">
      <c r="B2119" t="str">
        <f>"           if (PADDR_CNT == 7'd"&amp;A2114&amp;")"</f>
        <v xml:space="preserve">           if (PADDR_CNT == 7'd181)</v>
      </c>
    </row>
    <row r="2120" spans="1:2" x14ac:dyDescent="0.3">
      <c r="B2120" t="str">
        <f>"               sr_paddr_dat["&amp;A2114&amp;"]  &lt;= sr_page_paddr_buf;"</f>
        <v xml:space="preserve">               sr_paddr_dat[181]  &lt;= sr_page_paddr_buf;</v>
      </c>
    </row>
    <row r="2121" spans="1:2" x14ac:dyDescent="0.3">
      <c r="B2121" t="s">
        <v>3</v>
      </c>
    </row>
    <row r="2122" spans="1:2" x14ac:dyDescent="0.3">
      <c r="B2122" t="str">
        <f>"               sr_paddr_dat["&amp;A2114&amp;"]  &lt;= sr_paddr_dat["&amp;A2114&amp;"];"</f>
        <v xml:space="preserve">               sr_paddr_dat[181]  &lt;= sr_paddr_dat[181];</v>
      </c>
    </row>
    <row r="2123" spans="1:2" x14ac:dyDescent="0.3">
      <c r="B2123" t="s">
        <v>4</v>
      </c>
    </row>
    <row r="2124" spans="1:2" x14ac:dyDescent="0.3">
      <c r="B2124" t="s">
        <v>5</v>
      </c>
    </row>
    <row r="2126" spans="1:2" x14ac:dyDescent="0.3">
      <c r="A2126">
        <f>A2114+1</f>
        <v>182</v>
      </c>
      <c r="B2126" t="str">
        <f>"    // Page Address Resister"&amp;A2126</f>
        <v xml:space="preserve">    // Page Address Resister182</v>
      </c>
    </row>
    <row r="2127" spans="1:2" x14ac:dyDescent="0.3">
      <c r="A2127" t="str">
        <f t="shared" ref="A2127" si="10">DEC2HEX(A2126)</f>
        <v>B6</v>
      </c>
      <c r="B2127" t="s">
        <v>0</v>
      </c>
    </row>
    <row r="2128" spans="1:2" x14ac:dyDescent="0.3">
      <c r="B2128" t="s">
        <v>1</v>
      </c>
    </row>
    <row r="2129" spans="1:2" x14ac:dyDescent="0.3">
      <c r="B2129" t="str">
        <f>"            sr_paddr_dat["&amp;A2126&amp;"]   &lt;= 24'h0;"</f>
        <v xml:space="preserve">            sr_paddr_dat[182]   &lt;= 24'h0;</v>
      </c>
    </row>
    <row r="2130" spans="1:2" x14ac:dyDescent="0.3">
      <c r="B2130" t="s">
        <v>2</v>
      </c>
    </row>
    <row r="2131" spans="1:2" x14ac:dyDescent="0.3">
      <c r="B2131" t="str">
        <f>"           if (PADDR_CNT == 7'd"&amp;A2126&amp;")"</f>
        <v xml:space="preserve">           if (PADDR_CNT == 7'd182)</v>
      </c>
    </row>
    <row r="2132" spans="1:2" x14ac:dyDescent="0.3">
      <c r="B2132" t="str">
        <f>"               sr_paddr_dat["&amp;A2126&amp;"]  &lt;= sr_page_paddr_buf;"</f>
        <v xml:space="preserve">               sr_paddr_dat[182]  &lt;= sr_page_paddr_buf;</v>
      </c>
    </row>
    <row r="2133" spans="1:2" x14ac:dyDescent="0.3">
      <c r="B2133" t="s">
        <v>3</v>
      </c>
    </row>
    <row r="2134" spans="1:2" x14ac:dyDescent="0.3">
      <c r="B2134" t="str">
        <f>"               sr_paddr_dat["&amp;A2126&amp;"]  &lt;= sr_paddr_dat["&amp;A2126&amp;"];"</f>
        <v xml:space="preserve">               sr_paddr_dat[182]  &lt;= sr_paddr_dat[182];</v>
      </c>
    </row>
    <row r="2135" spans="1:2" x14ac:dyDescent="0.3">
      <c r="B2135" t="s">
        <v>4</v>
      </c>
    </row>
    <row r="2136" spans="1:2" x14ac:dyDescent="0.3">
      <c r="B2136" t="s">
        <v>5</v>
      </c>
    </row>
    <row r="2138" spans="1:2" x14ac:dyDescent="0.3">
      <c r="A2138">
        <f>A2126+1</f>
        <v>183</v>
      </c>
      <c r="B2138" t="str">
        <f>"    // Page Address Resister"&amp;A2138</f>
        <v xml:space="preserve">    // Page Address Resister183</v>
      </c>
    </row>
    <row r="2139" spans="1:2" x14ac:dyDescent="0.3">
      <c r="A2139" t="str">
        <f t="shared" ref="A2139" si="11">DEC2HEX(A2138)</f>
        <v>B7</v>
      </c>
      <c r="B2139" t="s">
        <v>0</v>
      </c>
    </row>
    <row r="2140" spans="1:2" x14ac:dyDescent="0.3">
      <c r="B2140" t="s">
        <v>1</v>
      </c>
    </row>
    <row r="2141" spans="1:2" x14ac:dyDescent="0.3">
      <c r="B2141" t="str">
        <f>"            sr_paddr_dat["&amp;A2138&amp;"]   &lt;= 24'h0;"</f>
        <v xml:space="preserve">            sr_paddr_dat[183]   &lt;= 24'h0;</v>
      </c>
    </row>
    <row r="2142" spans="1:2" x14ac:dyDescent="0.3">
      <c r="B2142" t="s">
        <v>2</v>
      </c>
    </row>
    <row r="2143" spans="1:2" x14ac:dyDescent="0.3">
      <c r="B2143" t="str">
        <f>"           if (PADDR_CNT == 7'd"&amp;A2138&amp;")"</f>
        <v xml:space="preserve">           if (PADDR_CNT == 7'd183)</v>
      </c>
    </row>
    <row r="2144" spans="1:2" x14ac:dyDescent="0.3">
      <c r="B2144" t="str">
        <f>"               sr_paddr_dat["&amp;A2138&amp;"]  &lt;= sr_page_paddr_buf;"</f>
        <v xml:space="preserve">               sr_paddr_dat[183]  &lt;= sr_page_paddr_buf;</v>
      </c>
    </row>
    <row r="2145" spans="1:2" x14ac:dyDescent="0.3">
      <c r="B2145" t="s">
        <v>3</v>
      </c>
    </row>
    <row r="2146" spans="1:2" x14ac:dyDescent="0.3">
      <c r="B2146" t="str">
        <f>"               sr_paddr_dat["&amp;A2138&amp;"]  &lt;= sr_paddr_dat["&amp;A2138&amp;"];"</f>
        <v xml:space="preserve">               sr_paddr_dat[183]  &lt;= sr_paddr_dat[183];</v>
      </c>
    </row>
    <row r="2147" spans="1:2" x14ac:dyDescent="0.3">
      <c r="B2147" t="s">
        <v>4</v>
      </c>
    </row>
    <row r="2148" spans="1:2" x14ac:dyDescent="0.3">
      <c r="B2148" t="s">
        <v>5</v>
      </c>
    </row>
    <row r="2150" spans="1:2" x14ac:dyDescent="0.3">
      <c r="A2150">
        <f>A2138+1</f>
        <v>184</v>
      </c>
      <c r="B2150" t="str">
        <f>"    // Page Address Resister"&amp;A2150</f>
        <v xml:space="preserve">    // Page Address Resister184</v>
      </c>
    </row>
    <row r="2151" spans="1:2" x14ac:dyDescent="0.3">
      <c r="A2151" t="str">
        <f>DEC2HEX(A2150)</f>
        <v>B8</v>
      </c>
      <c r="B2151" t="s">
        <v>0</v>
      </c>
    </row>
    <row r="2152" spans="1:2" x14ac:dyDescent="0.3">
      <c r="B2152" t="s">
        <v>1</v>
      </c>
    </row>
    <row r="2153" spans="1:2" x14ac:dyDescent="0.3">
      <c r="B2153" t="str">
        <f>"            sr_paddr_dat["&amp;A2150&amp;"]   &lt;= 24'h0;"</f>
        <v xml:space="preserve">            sr_paddr_dat[184]   &lt;= 24'h0;</v>
      </c>
    </row>
    <row r="2154" spans="1:2" x14ac:dyDescent="0.3">
      <c r="B2154" t="s">
        <v>2</v>
      </c>
    </row>
    <row r="2155" spans="1:2" x14ac:dyDescent="0.3">
      <c r="B2155" t="str">
        <f>"           if (PADDR_CNT == 7'd"&amp;A2150&amp;")"</f>
        <v xml:space="preserve">           if (PADDR_CNT == 7'd184)</v>
      </c>
    </row>
    <row r="2156" spans="1:2" x14ac:dyDescent="0.3">
      <c r="B2156" t="str">
        <f>"               sr_paddr_dat["&amp;A2150&amp;"]  &lt;= sr_page_paddr_buf;"</f>
        <v xml:space="preserve">               sr_paddr_dat[184]  &lt;= sr_page_paddr_buf;</v>
      </c>
    </row>
    <row r="2157" spans="1:2" x14ac:dyDescent="0.3">
      <c r="B2157" t="s">
        <v>3</v>
      </c>
    </row>
    <row r="2158" spans="1:2" x14ac:dyDescent="0.3">
      <c r="B2158" t="str">
        <f>"               sr_paddr_dat["&amp;A2150&amp;"]  &lt;= sr_paddr_dat["&amp;A2150&amp;"];"</f>
        <v xml:space="preserve">               sr_paddr_dat[184]  &lt;= sr_paddr_dat[184];</v>
      </c>
    </row>
    <row r="2159" spans="1:2" x14ac:dyDescent="0.3">
      <c r="B2159" t="s">
        <v>4</v>
      </c>
    </row>
    <row r="2160" spans="1:2" x14ac:dyDescent="0.3">
      <c r="B2160" t="s">
        <v>5</v>
      </c>
    </row>
    <row r="2162" spans="1:2" x14ac:dyDescent="0.3">
      <c r="A2162">
        <f>A2150+1</f>
        <v>185</v>
      </c>
      <c r="B2162" t="str">
        <f>"    // Page Address Resister"&amp;A2162</f>
        <v xml:space="preserve">    // Page Address Resister185</v>
      </c>
    </row>
    <row r="2163" spans="1:2" x14ac:dyDescent="0.3">
      <c r="A2163" t="str">
        <f>DEC2HEX(A2162)</f>
        <v>B9</v>
      </c>
      <c r="B2163" t="s">
        <v>0</v>
      </c>
    </row>
    <row r="2164" spans="1:2" x14ac:dyDescent="0.3">
      <c r="B2164" t="s">
        <v>1</v>
      </c>
    </row>
    <row r="2165" spans="1:2" x14ac:dyDescent="0.3">
      <c r="B2165" t="str">
        <f>"            sr_paddr_dat["&amp;A2162&amp;"]   &lt;= 24'h0;"</f>
        <v xml:space="preserve">            sr_paddr_dat[185]   &lt;= 24'h0;</v>
      </c>
    </row>
    <row r="2166" spans="1:2" x14ac:dyDescent="0.3">
      <c r="B2166" t="s">
        <v>2</v>
      </c>
    </row>
    <row r="2167" spans="1:2" x14ac:dyDescent="0.3">
      <c r="B2167" t="str">
        <f>"           if (PADDR_CNT == 7'd"&amp;A2162&amp;")"</f>
        <v xml:space="preserve">           if (PADDR_CNT == 7'd185)</v>
      </c>
    </row>
    <row r="2168" spans="1:2" x14ac:dyDescent="0.3">
      <c r="B2168" t="str">
        <f>"               sr_paddr_dat["&amp;A2162&amp;"]  &lt;= sr_page_paddr_buf;"</f>
        <v xml:space="preserve">               sr_paddr_dat[185]  &lt;= sr_page_paddr_buf;</v>
      </c>
    </row>
    <row r="2169" spans="1:2" x14ac:dyDescent="0.3">
      <c r="B2169" t="s">
        <v>3</v>
      </c>
    </row>
    <row r="2170" spans="1:2" x14ac:dyDescent="0.3">
      <c r="B2170" t="str">
        <f>"               sr_paddr_dat["&amp;A2162&amp;"]  &lt;= sr_paddr_dat["&amp;A2162&amp;"];"</f>
        <v xml:space="preserve">               sr_paddr_dat[185]  &lt;= sr_paddr_dat[185];</v>
      </c>
    </row>
    <row r="2171" spans="1:2" x14ac:dyDescent="0.3">
      <c r="B2171" t="s">
        <v>4</v>
      </c>
    </row>
    <row r="2172" spans="1:2" x14ac:dyDescent="0.3">
      <c r="B2172" t="s">
        <v>5</v>
      </c>
    </row>
    <row r="2174" spans="1:2" x14ac:dyDescent="0.3">
      <c r="A2174">
        <f>A2162+1</f>
        <v>186</v>
      </c>
      <c r="B2174" t="str">
        <f>"    // Page Address Resister"&amp;A2174</f>
        <v xml:space="preserve">    // Page Address Resister186</v>
      </c>
    </row>
    <row r="2175" spans="1:2" x14ac:dyDescent="0.3">
      <c r="A2175" t="str">
        <f>DEC2HEX(A2174)</f>
        <v>BA</v>
      </c>
      <c r="B2175" t="s">
        <v>0</v>
      </c>
    </row>
    <row r="2176" spans="1:2" x14ac:dyDescent="0.3">
      <c r="B2176" t="s">
        <v>1</v>
      </c>
    </row>
    <row r="2177" spans="1:2" x14ac:dyDescent="0.3">
      <c r="B2177" t="str">
        <f>"            sr_paddr_dat["&amp;A2174&amp;"]   &lt;= 24'h0;"</f>
        <v xml:space="preserve">            sr_paddr_dat[186]   &lt;= 24'h0;</v>
      </c>
    </row>
    <row r="2178" spans="1:2" x14ac:dyDescent="0.3">
      <c r="B2178" t="s">
        <v>2</v>
      </c>
    </row>
    <row r="2179" spans="1:2" x14ac:dyDescent="0.3">
      <c r="B2179" t="str">
        <f>"           if (PADDR_CNT == 7'd"&amp;A2174&amp;")"</f>
        <v xml:space="preserve">           if (PADDR_CNT == 7'd186)</v>
      </c>
    </row>
    <row r="2180" spans="1:2" x14ac:dyDescent="0.3">
      <c r="B2180" t="str">
        <f>"               sr_paddr_dat["&amp;A2174&amp;"]  &lt;= sr_page_paddr_buf;"</f>
        <v xml:space="preserve">               sr_paddr_dat[186]  &lt;= sr_page_paddr_buf;</v>
      </c>
    </row>
    <row r="2181" spans="1:2" x14ac:dyDescent="0.3">
      <c r="B2181" t="s">
        <v>3</v>
      </c>
    </row>
    <row r="2182" spans="1:2" x14ac:dyDescent="0.3">
      <c r="B2182" t="str">
        <f>"               sr_paddr_dat["&amp;A2174&amp;"]  &lt;= sr_paddr_dat["&amp;A2174&amp;"];"</f>
        <v xml:space="preserve">               sr_paddr_dat[186]  &lt;= sr_paddr_dat[186];</v>
      </c>
    </row>
    <row r="2183" spans="1:2" x14ac:dyDescent="0.3">
      <c r="B2183" t="s">
        <v>4</v>
      </c>
    </row>
    <row r="2184" spans="1:2" x14ac:dyDescent="0.3">
      <c r="B2184" t="s">
        <v>5</v>
      </c>
    </row>
    <row r="2186" spans="1:2" x14ac:dyDescent="0.3">
      <c r="A2186">
        <f>A2174+1</f>
        <v>187</v>
      </c>
      <c r="B2186" t="str">
        <f>"    // Page Address Resister"&amp;A2186</f>
        <v xml:space="preserve">    // Page Address Resister187</v>
      </c>
    </row>
    <row r="2187" spans="1:2" x14ac:dyDescent="0.3">
      <c r="A2187" t="str">
        <f>DEC2HEX(A2186)</f>
        <v>BB</v>
      </c>
      <c r="B2187" t="s">
        <v>0</v>
      </c>
    </row>
    <row r="2188" spans="1:2" x14ac:dyDescent="0.3">
      <c r="B2188" t="s">
        <v>1</v>
      </c>
    </row>
    <row r="2189" spans="1:2" x14ac:dyDescent="0.3">
      <c r="B2189" t="str">
        <f>"            sr_paddr_dat["&amp;A2186&amp;"]   &lt;= 24'h0;"</f>
        <v xml:space="preserve">            sr_paddr_dat[187]   &lt;= 24'h0;</v>
      </c>
    </row>
    <row r="2190" spans="1:2" x14ac:dyDescent="0.3">
      <c r="B2190" t="s">
        <v>2</v>
      </c>
    </row>
    <row r="2191" spans="1:2" x14ac:dyDescent="0.3">
      <c r="B2191" t="str">
        <f>"           if (PADDR_CNT == 7'd"&amp;A2186&amp;")"</f>
        <v xml:space="preserve">           if (PADDR_CNT == 7'd187)</v>
      </c>
    </row>
    <row r="2192" spans="1:2" x14ac:dyDescent="0.3">
      <c r="B2192" t="str">
        <f>"               sr_paddr_dat["&amp;A2186&amp;"]  &lt;= sr_page_paddr_buf;"</f>
        <v xml:space="preserve">               sr_paddr_dat[187]  &lt;= sr_page_paddr_buf;</v>
      </c>
    </row>
    <row r="2193" spans="1:2" x14ac:dyDescent="0.3">
      <c r="B2193" t="s">
        <v>3</v>
      </c>
    </row>
    <row r="2194" spans="1:2" x14ac:dyDescent="0.3">
      <c r="B2194" t="str">
        <f>"               sr_paddr_dat["&amp;A2186&amp;"]  &lt;= sr_paddr_dat["&amp;A2186&amp;"];"</f>
        <v xml:space="preserve">               sr_paddr_dat[187]  &lt;= sr_paddr_dat[187];</v>
      </c>
    </row>
    <row r="2195" spans="1:2" x14ac:dyDescent="0.3">
      <c r="B2195" t="s">
        <v>4</v>
      </c>
    </row>
    <row r="2196" spans="1:2" x14ac:dyDescent="0.3">
      <c r="B2196" t="s">
        <v>5</v>
      </c>
    </row>
    <row r="2198" spans="1:2" x14ac:dyDescent="0.3">
      <c r="A2198">
        <f>A2186+1</f>
        <v>188</v>
      </c>
      <c r="B2198" t="str">
        <f>"    // Page Address Resister"&amp;A2198</f>
        <v xml:space="preserve">    // Page Address Resister188</v>
      </c>
    </row>
    <row r="2199" spans="1:2" x14ac:dyDescent="0.3">
      <c r="A2199" t="str">
        <f>DEC2HEX(A2198)</f>
        <v>BC</v>
      </c>
      <c r="B2199" t="s">
        <v>0</v>
      </c>
    </row>
    <row r="2200" spans="1:2" x14ac:dyDescent="0.3">
      <c r="B2200" t="s">
        <v>1</v>
      </c>
    </row>
    <row r="2201" spans="1:2" x14ac:dyDescent="0.3">
      <c r="B2201" t="str">
        <f>"            sr_paddr_dat["&amp;A2198&amp;"]   &lt;= 24'h0;"</f>
        <v xml:space="preserve">            sr_paddr_dat[188]   &lt;= 24'h0;</v>
      </c>
    </row>
    <row r="2202" spans="1:2" x14ac:dyDescent="0.3">
      <c r="B2202" t="s">
        <v>2</v>
      </c>
    </row>
    <row r="2203" spans="1:2" x14ac:dyDescent="0.3">
      <c r="B2203" t="str">
        <f>"           if (PADDR_CNT == 7'd"&amp;A2198&amp;")"</f>
        <v xml:space="preserve">           if (PADDR_CNT == 7'd188)</v>
      </c>
    </row>
    <row r="2204" spans="1:2" x14ac:dyDescent="0.3">
      <c r="B2204" t="str">
        <f>"               sr_paddr_dat["&amp;A2198&amp;"]  &lt;= sr_page_paddr_buf;"</f>
        <v xml:space="preserve">               sr_paddr_dat[188]  &lt;= sr_page_paddr_buf;</v>
      </c>
    </row>
    <row r="2205" spans="1:2" x14ac:dyDescent="0.3">
      <c r="B2205" t="s">
        <v>3</v>
      </c>
    </row>
    <row r="2206" spans="1:2" x14ac:dyDescent="0.3">
      <c r="B2206" t="str">
        <f>"               sr_paddr_dat["&amp;A2198&amp;"]  &lt;= sr_paddr_dat["&amp;A2198&amp;"];"</f>
        <v xml:space="preserve">               sr_paddr_dat[188]  &lt;= sr_paddr_dat[188];</v>
      </c>
    </row>
    <row r="2207" spans="1:2" x14ac:dyDescent="0.3">
      <c r="B2207" t="s">
        <v>4</v>
      </c>
    </row>
    <row r="2208" spans="1:2" x14ac:dyDescent="0.3">
      <c r="B2208" t="s">
        <v>5</v>
      </c>
    </row>
    <row r="2210" spans="1:2" x14ac:dyDescent="0.3">
      <c r="A2210">
        <f>A2198+1</f>
        <v>189</v>
      </c>
      <c r="B2210" t="str">
        <f>"    // Page Address Resister"&amp;A2210</f>
        <v xml:space="preserve">    // Page Address Resister189</v>
      </c>
    </row>
    <row r="2211" spans="1:2" x14ac:dyDescent="0.3">
      <c r="A2211" t="str">
        <f>DEC2HEX(A2210)</f>
        <v>BD</v>
      </c>
      <c r="B2211" t="s">
        <v>0</v>
      </c>
    </row>
    <row r="2212" spans="1:2" x14ac:dyDescent="0.3">
      <c r="B2212" t="s">
        <v>1</v>
      </c>
    </row>
    <row r="2213" spans="1:2" x14ac:dyDescent="0.3">
      <c r="B2213" t="str">
        <f>"            sr_paddr_dat["&amp;A2210&amp;"]   &lt;= 24'h0;"</f>
        <v xml:space="preserve">            sr_paddr_dat[189]   &lt;= 24'h0;</v>
      </c>
    </row>
    <row r="2214" spans="1:2" x14ac:dyDescent="0.3">
      <c r="B2214" t="s">
        <v>2</v>
      </c>
    </row>
    <row r="2215" spans="1:2" x14ac:dyDescent="0.3">
      <c r="B2215" t="str">
        <f>"           if (PADDR_CNT == 7'd"&amp;A2210&amp;")"</f>
        <v xml:space="preserve">           if (PADDR_CNT == 7'd189)</v>
      </c>
    </row>
    <row r="2216" spans="1:2" x14ac:dyDescent="0.3">
      <c r="B2216" t="str">
        <f>"               sr_paddr_dat["&amp;A2210&amp;"]  &lt;= sr_page_paddr_buf;"</f>
        <v xml:space="preserve">               sr_paddr_dat[189]  &lt;= sr_page_paddr_buf;</v>
      </c>
    </row>
    <row r="2217" spans="1:2" x14ac:dyDescent="0.3">
      <c r="B2217" t="s">
        <v>3</v>
      </c>
    </row>
    <row r="2218" spans="1:2" x14ac:dyDescent="0.3">
      <c r="B2218" t="str">
        <f>"               sr_paddr_dat["&amp;A2210&amp;"]  &lt;= sr_paddr_dat["&amp;A2210&amp;"];"</f>
        <v xml:space="preserve">               sr_paddr_dat[189]  &lt;= sr_paddr_dat[189];</v>
      </c>
    </row>
    <row r="2219" spans="1:2" x14ac:dyDescent="0.3">
      <c r="B2219" t="s">
        <v>4</v>
      </c>
    </row>
    <row r="2220" spans="1:2" x14ac:dyDescent="0.3">
      <c r="B2220" t="s">
        <v>5</v>
      </c>
    </row>
    <row r="2222" spans="1:2" x14ac:dyDescent="0.3">
      <c r="A2222">
        <f>A2210+1</f>
        <v>190</v>
      </c>
      <c r="B2222" t="str">
        <f>"    // Page Address Resister"&amp;A2222</f>
        <v xml:space="preserve">    // Page Address Resister190</v>
      </c>
    </row>
    <row r="2223" spans="1:2" x14ac:dyDescent="0.3">
      <c r="A2223" t="str">
        <f>DEC2HEX(A2222)</f>
        <v>BE</v>
      </c>
      <c r="B2223" t="s">
        <v>0</v>
      </c>
    </row>
    <row r="2224" spans="1:2" x14ac:dyDescent="0.3">
      <c r="B2224" t="s">
        <v>1</v>
      </c>
    </row>
    <row r="2225" spans="1:2" x14ac:dyDescent="0.3">
      <c r="B2225" t="str">
        <f>"            sr_paddr_dat["&amp;A2222&amp;"]   &lt;= 24'h0;"</f>
        <v xml:space="preserve">            sr_paddr_dat[190]   &lt;= 24'h0;</v>
      </c>
    </row>
    <row r="2226" spans="1:2" x14ac:dyDescent="0.3">
      <c r="B2226" t="s">
        <v>2</v>
      </c>
    </row>
    <row r="2227" spans="1:2" x14ac:dyDescent="0.3">
      <c r="B2227" t="str">
        <f>"           if (PADDR_CNT == 7'd"&amp;A2222&amp;")"</f>
        <v xml:space="preserve">           if (PADDR_CNT == 7'd190)</v>
      </c>
    </row>
    <row r="2228" spans="1:2" x14ac:dyDescent="0.3">
      <c r="B2228" t="str">
        <f>"               sr_paddr_dat["&amp;A2222&amp;"]  &lt;= sr_page_paddr_buf;"</f>
        <v xml:space="preserve">               sr_paddr_dat[190]  &lt;= sr_page_paddr_buf;</v>
      </c>
    </row>
    <row r="2229" spans="1:2" x14ac:dyDescent="0.3">
      <c r="B2229" t="s">
        <v>3</v>
      </c>
    </row>
    <row r="2230" spans="1:2" x14ac:dyDescent="0.3">
      <c r="B2230" t="str">
        <f>"               sr_paddr_dat["&amp;A2222&amp;"]  &lt;= sr_paddr_dat["&amp;A2222&amp;"];"</f>
        <v xml:space="preserve">               sr_paddr_dat[190]  &lt;= sr_paddr_dat[190];</v>
      </c>
    </row>
    <row r="2231" spans="1:2" x14ac:dyDescent="0.3">
      <c r="B2231" t="s">
        <v>4</v>
      </c>
    </row>
    <row r="2232" spans="1:2" x14ac:dyDescent="0.3">
      <c r="B2232" t="s">
        <v>5</v>
      </c>
    </row>
    <row r="2234" spans="1:2" x14ac:dyDescent="0.3">
      <c r="A2234">
        <f>A2222+1</f>
        <v>191</v>
      </c>
      <c r="B2234" t="str">
        <f>"    // Page Address Resister"&amp;A2234</f>
        <v xml:space="preserve">    // Page Address Resister191</v>
      </c>
    </row>
    <row r="2235" spans="1:2" x14ac:dyDescent="0.3">
      <c r="A2235" t="str">
        <f>DEC2HEX(A2234)</f>
        <v>BF</v>
      </c>
      <c r="B2235" t="s">
        <v>0</v>
      </c>
    </row>
    <row r="2236" spans="1:2" x14ac:dyDescent="0.3">
      <c r="B2236" t="s">
        <v>1</v>
      </c>
    </row>
    <row r="2237" spans="1:2" x14ac:dyDescent="0.3">
      <c r="B2237" t="str">
        <f>"            sr_paddr_dat["&amp;A2234&amp;"]   &lt;= 24'h0;"</f>
        <v xml:space="preserve">            sr_paddr_dat[191]   &lt;= 24'h0;</v>
      </c>
    </row>
    <row r="2238" spans="1:2" x14ac:dyDescent="0.3">
      <c r="B2238" t="s">
        <v>2</v>
      </c>
    </row>
    <row r="2239" spans="1:2" x14ac:dyDescent="0.3">
      <c r="B2239" t="str">
        <f>"           if (PADDR_CNT == 7'd"&amp;A2234&amp;")"</f>
        <v xml:space="preserve">           if (PADDR_CNT == 7'd191)</v>
      </c>
    </row>
    <row r="2240" spans="1:2" x14ac:dyDescent="0.3">
      <c r="B2240" t="str">
        <f>"               sr_paddr_dat["&amp;A2234&amp;"]  &lt;= sr_page_paddr_buf;"</f>
        <v xml:space="preserve">               sr_paddr_dat[191]  &lt;= sr_page_paddr_buf;</v>
      </c>
    </row>
    <row r="2241" spans="1:2" x14ac:dyDescent="0.3">
      <c r="B2241" t="s">
        <v>3</v>
      </c>
    </row>
    <row r="2242" spans="1:2" x14ac:dyDescent="0.3">
      <c r="B2242" t="str">
        <f>"               sr_paddr_dat["&amp;A2234&amp;"]  &lt;= sr_paddr_dat["&amp;A2234&amp;"];"</f>
        <v xml:space="preserve">               sr_paddr_dat[191]  &lt;= sr_paddr_dat[191];</v>
      </c>
    </row>
    <row r="2243" spans="1:2" x14ac:dyDescent="0.3">
      <c r="B2243" t="s">
        <v>4</v>
      </c>
    </row>
    <row r="2244" spans="1:2" x14ac:dyDescent="0.3">
      <c r="B2244" t="s">
        <v>5</v>
      </c>
    </row>
    <row r="2246" spans="1:2" x14ac:dyDescent="0.3">
      <c r="A2246">
        <f>A2234+1</f>
        <v>192</v>
      </c>
      <c r="B2246" t="str">
        <f>"    // Page Address Resister"&amp;A2246</f>
        <v xml:space="preserve">    // Page Address Resister192</v>
      </c>
    </row>
    <row r="2247" spans="1:2" x14ac:dyDescent="0.3">
      <c r="A2247" t="str">
        <f>DEC2HEX(A2246)</f>
        <v>C0</v>
      </c>
      <c r="B2247" t="s">
        <v>0</v>
      </c>
    </row>
    <row r="2248" spans="1:2" x14ac:dyDescent="0.3">
      <c r="B2248" t="s">
        <v>1</v>
      </c>
    </row>
    <row r="2249" spans="1:2" x14ac:dyDescent="0.3">
      <c r="B2249" t="str">
        <f>"            sr_paddr_dat["&amp;A2246&amp;"]   &lt;= 24'h0;"</f>
        <v xml:space="preserve">            sr_paddr_dat[192]   &lt;= 24'h0;</v>
      </c>
    </row>
    <row r="2250" spans="1:2" x14ac:dyDescent="0.3">
      <c r="B2250" t="s">
        <v>2</v>
      </c>
    </row>
    <row r="2251" spans="1:2" x14ac:dyDescent="0.3">
      <c r="B2251" t="str">
        <f>"           if (PADDR_CNT == 7'd"&amp;A2246&amp;")"</f>
        <v xml:space="preserve">           if (PADDR_CNT == 7'd192)</v>
      </c>
    </row>
    <row r="2252" spans="1:2" x14ac:dyDescent="0.3">
      <c r="B2252" t="str">
        <f>"               sr_paddr_dat["&amp;A2246&amp;"]  &lt;= sr_page_paddr_buf;"</f>
        <v xml:space="preserve">               sr_paddr_dat[192]  &lt;= sr_page_paddr_buf;</v>
      </c>
    </row>
    <row r="2253" spans="1:2" x14ac:dyDescent="0.3">
      <c r="B2253" t="s">
        <v>3</v>
      </c>
    </row>
    <row r="2254" spans="1:2" x14ac:dyDescent="0.3">
      <c r="B2254" t="str">
        <f>"               sr_paddr_dat["&amp;A2246&amp;"]  &lt;= sr_paddr_dat["&amp;A2246&amp;"];"</f>
        <v xml:space="preserve">               sr_paddr_dat[192]  &lt;= sr_paddr_dat[192];</v>
      </c>
    </row>
    <row r="2255" spans="1:2" x14ac:dyDescent="0.3">
      <c r="B2255" t="s">
        <v>4</v>
      </c>
    </row>
    <row r="2256" spans="1:2" x14ac:dyDescent="0.3">
      <c r="B2256" t="s">
        <v>5</v>
      </c>
    </row>
    <row r="2258" spans="1:2" x14ac:dyDescent="0.3">
      <c r="A2258">
        <f>A2246+1</f>
        <v>193</v>
      </c>
      <c r="B2258" t="str">
        <f>"    // Page Address Resister"&amp;A2258</f>
        <v xml:space="preserve">    // Page Address Resister193</v>
      </c>
    </row>
    <row r="2259" spans="1:2" x14ac:dyDescent="0.3">
      <c r="A2259" t="str">
        <f>DEC2HEX(A2258)</f>
        <v>C1</v>
      </c>
      <c r="B2259" t="s">
        <v>0</v>
      </c>
    </row>
    <row r="2260" spans="1:2" x14ac:dyDescent="0.3">
      <c r="B2260" t="s">
        <v>1</v>
      </c>
    </row>
    <row r="2261" spans="1:2" x14ac:dyDescent="0.3">
      <c r="B2261" t="str">
        <f>"            sr_paddr_dat["&amp;A2258&amp;"]   &lt;= 24'h0;"</f>
        <v xml:space="preserve">            sr_paddr_dat[193]   &lt;= 24'h0;</v>
      </c>
    </row>
    <row r="2262" spans="1:2" x14ac:dyDescent="0.3">
      <c r="B2262" t="s">
        <v>2</v>
      </c>
    </row>
    <row r="2263" spans="1:2" x14ac:dyDescent="0.3">
      <c r="B2263" t="str">
        <f>"           if (PADDR_CNT == 7'd"&amp;A2258&amp;")"</f>
        <v xml:space="preserve">           if (PADDR_CNT == 7'd193)</v>
      </c>
    </row>
    <row r="2264" spans="1:2" x14ac:dyDescent="0.3">
      <c r="B2264" t="str">
        <f>"               sr_paddr_dat["&amp;A2258&amp;"]  &lt;= sr_page_paddr_buf;"</f>
        <v xml:space="preserve">               sr_paddr_dat[193]  &lt;= sr_page_paddr_buf;</v>
      </c>
    </row>
    <row r="2265" spans="1:2" x14ac:dyDescent="0.3">
      <c r="B2265" t="s">
        <v>3</v>
      </c>
    </row>
    <row r="2266" spans="1:2" x14ac:dyDescent="0.3">
      <c r="B2266" t="str">
        <f>"               sr_paddr_dat["&amp;A2258&amp;"]  &lt;= sr_paddr_dat["&amp;A2258&amp;"];"</f>
        <v xml:space="preserve">               sr_paddr_dat[193]  &lt;= sr_paddr_dat[193];</v>
      </c>
    </row>
    <row r="2267" spans="1:2" x14ac:dyDescent="0.3">
      <c r="B2267" t="s">
        <v>4</v>
      </c>
    </row>
    <row r="2268" spans="1:2" x14ac:dyDescent="0.3">
      <c r="B2268" t="s">
        <v>5</v>
      </c>
    </row>
    <row r="2270" spans="1:2" x14ac:dyDescent="0.3">
      <c r="A2270">
        <f>A2258+1</f>
        <v>194</v>
      </c>
      <c r="B2270" t="str">
        <f>"    // Page Address Resister"&amp;A2270</f>
        <v xml:space="preserve">    // Page Address Resister194</v>
      </c>
    </row>
    <row r="2271" spans="1:2" x14ac:dyDescent="0.3">
      <c r="A2271" t="str">
        <f>DEC2HEX(A2270)</f>
        <v>C2</v>
      </c>
      <c r="B2271" t="s">
        <v>0</v>
      </c>
    </row>
    <row r="2272" spans="1:2" x14ac:dyDescent="0.3">
      <c r="B2272" t="s">
        <v>1</v>
      </c>
    </row>
    <row r="2273" spans="1:2" x14ac:dyDescent="0.3">
      <c r="B2273" t="str">
        <f>"            sr_paddr_dat["&amp;A2270&amp;"]   &lt;= 24'h0;"</f>
        <v xml:space="preserve">            sr_paddr_dat[194]   &lt;= 24'h0;</v>
      </c>
    </row>
    <row r="2274" spans="1:2" x14ac:dyDescent="0.3">
      <c r="B2274" t="s">
        <v>2</v>
      </c>
    </row>
    <row r="2275" spans="1:2" x14ac:dyDescent="0.3">
      <c r="B2275" t="str">
        <f>"           if (PADDR_CNT == 7'd"&amp;A2270&amp;")"</f>
        <v xml:space="preserve">           if (PADDR_CNT == 7'd194)</v>
      </c>
    </row>
    <row r="2276" spans="1:2" x14ac:dyDescent="0.3">
      <c r="B2276" t="str">
        <f>"               sr_paddr_dat["&amp;A2270&amp;"]  &lt;= sr_page_paddr_buf;"</f>
        <v xml:space="preserve">               sr_paddr_dat[194]  &lt;= sr_page_paddr_buf;</v>
      </c>
    </row>
    <row r="2277" spans="1:2" x14ac:dyDescent="0.3">
      <c r="B2277" t="s">
        <v>3</v>
      </c>
    </row>
    <row r="2278" spans="1:2" x14ac:dyDescent="0.3">
      <c r="B2278" t="str">
        <f>"               sr_paddr_dat["&amp;A2270&amp;"]  &lt;= sr_paddr_dat["&amp;A2270&amp;"];"</f>
        <v xml:space="preserve">               sr_paddr_dat[194]  &lt;= sr_paddr_dat[194];</v>
      </c>
    </row>
    <row r="2279" spans="1:2" x14ac:dyDescent="0.3">
      <c r="B2279" t="s">
        <v>4</v>
      </c>
    </row>
    <row r="2280" spans="1:2" x14ac:dyDescent="0.3">
      <c r="B2280" t="s">
        <v>5</v>
      </c>
    </row>
    <row r="2282" spans="1:2" x14ac:dyDescent="0.3">
      <c r="A2282">
        <f>A2270+1</f>
        <v>195</v>
      </c>
      <c r="B2282" t="str">
        <f>"    // Page Address Resister"&amp;A2282</f>
        <v xml:space="preserve">    // Page Address Resister195</v>
      </c>
    </row>
    <row r="2283" spans="1:2" x14ac:dyDescent="0.3">
      <c r="A2283" t="str">
        <f>DEC2HEX(A2282)</f>
        <v>C3</v>
      </c>
      <c r="B2283" t="s">
        <v>0</v>
      </c>
    </row>
    <row r="2284" spans="1:2" x14ac:dyDescent="0.3">
      <c r="B2284" t="s">
        <v>1</v>
      </c>
    </row>
    <row r="2285" spans="1:2" x14ac:dyDescent="0.3">
      <c r="B2285" t="str">
        <f>"            sr_paddr_dat["&amp;A2282&amp;"]   &lt;= 24'h0;"</f>
        <v xml:space="preserve">            sr_paddr_dat[195]   &lt;= 24'h0;</v>
      </c>
    </row>
    <row r="2286" spans="1:2" x14ac:dyDescent="0.3">
      <c r="B2286" t="s">
        <v>2</v>
      </c>
    </row>
    <row r="2287" spans="1:2" x14ac:dyDescent="0.3">
      <c r="B2287" t="str">
        <f>"           if (PADDR_CNT == 7'd"&amp;A2282&amp;")"</f>
        <v xml:space="preserve">           if (PADDR_CNT == 7'd195)</v>
      </c>
    </row>
    <row r="2288" spans="1:2" x14ac:dyDescent="0.3">
      <c r="B2288" t="str">
        <f>"               sr_paddr_dat["&amp;A2282&amp;"]  &lt;= sr_page_paddr_buf;"</f>
        <v xml:space="preserve">               sr_paddr_dat[195]  &lt;= sr_page_paddr_buf;</v>
      </c>
    </row>
    <row r="2289" spans="1:2" x14ac:dyDescent="0.3">
      <c r="B2289" t="s">
        <v>3</v>
      </c>
    </row>
    <row r="2290" spans="1:2" x14ac:dyDescent="0.3">
      <c r="B2290" t="str">
        <f>"               sr_paddr_dat["&amp;A2282&amp;"]  &lt;= sr_paddr_dat["&amp;A2282&amp;"];"</f>
        <v xml:space="preserve">               sr_paddr_dat[195]  &lt;= sr_paddr_dat[195];</v>
      </c>
    </row>
    <row r="2291" spans="1:2" x14ac:dyDescent="0.3">
      <c r="B2291" t="s">
        <v>4</v>
      </c>
    </row>
    <row r="2292" spans="1:2" x14ac:dyDescent="0.3">
      <c r="B2292" t="s">
        <v>5</v>
      </c>
    </row>
    <row r="2294" spans="1:2" x14ac:dyDescent="0.3">
      <c r="A2294">
        <f>A2282+1</f>
        <v>196</v>
      </c>
      <c r="B2294" t="str">
        <f>"    // Page Address Resister"&amp;A2294</f>
        <v xml:space="preserve">    // Page Address Resister196</v>
      </c>
    </row>
    <row r="2295" spans="1:2" x14ac:dyDescent="0.3">
      <c r="A2295" t="str">
        <f>DEC2HEX(A2294)</f>
        <v>C4</v>
      </c>
      <c r="B2295" t="s">
        <v>0</v>
      </c>
    </row>
    <row r="2296" spans="1:2" x14ac:dyDescent="0.3">
      <c r="B2296" t="s">
        <v>1</v>
      </c>
    </row>
    <row r="2297" spans="1:2" x14ac:dyDescent="0.3">
      <c r="B2297" t="str">
        <f>"            sr_paddr_dat["&amp;A2294&amp;"]   &lt;= 24'h0;"</f>
        <v xml:space="preserve">            sr_paddr_dat[196]   &lt;= 24'h0;</v>
      </c>
    </row>
    <row r="2298" spans="1:2" x14ac:dyDescent="0.3">
      <c r="B2298" t="s">
        <v>2</v>
      </c>
    </row>
    <row r="2299" spans="1:2" x14ac:dyDescent="0.3">
      <c r="B2299" t="str">
        <f>"           if (PADDR_CNT == 7'd"&amp;A2294&amp;")"</f>
        <v xml:space="preserve">           if (PADDR_CNT == 7'd196)</v>
      </c>
    </row>
    <row r="2300" spans="1:2" x14ac:dyDescent="0.3">
      <c r="B2300" t="str">
        <f>"               sr_paddr_dat["&amp;A2294&amp;"]  &lt;= sr_page_paddr_buf;"</f>
        <v xml:space="preserve">               sr_paddr_dat[196]  &lt;= sr_page_paddr_buf;</v>
      </c>
    </row>
    <row r="2301" spans="1:2" x14ac:dyDescent="0.3">
      <c r="B2301" t="s">
        <v>3</v>
      </c>
    </row>
    <row r="2302" spans="1:2" x14ac:dyDescent="0.3">
      <c r="B2302" t="str">
        <f>"               sr_paddr_dat["&amp;A2294&amp;"]  &lt;= sr_paddr_dat["&amp;A2294&amp;"];"</f>
        <v xml:space="preserve">               sr_paddr_dat[196]  &lt;= sr_paddr_dat[196];</v>
      </c>
    </row>
    <row r="2303" spans="1:2" x14ac:dyDescent="0.3">
      <c r="B2303" t="s">
        <v>4</v>
      </c>
    </row>
    <row r="2304" spans="1:2" x14ac:dyDescent="0.3">
      <c r="B2304" t="s">
        <v>5</v>
      </c>
    </row>
    <row r="2306" spans="1:2" x14ac:dyDescent="0.3">
      <c r="A2306">
        <f>A2294+1</f>
        <v>197</v>
      </c>
      <c r="B2306" t="str">
        <f>"    // Page Address Resister"&amp;A2306</f>
        <v xml:space="preserve">    // Page Address Resister197</v>
      </c>
    </row>
    <row r="2307" spans="1:2" x14ac:dyDescent="0.3">
      <c r="A2307" t="str">
        <f>DEC2HEX(A2306)</f>
        <v>C5</v>
      </c>
      <c r="B2307" t="s">
        <v>0</v>
      </c>
    </row>
    <row r="2308" spans="1:2" x14ac:dyDescent="0.3">
      <c r="B2308" t="s">
        <v>1</v>
      </c>
    </row>
    <row r="2309" spans="1:2" x14ac:dyDescent="0.3">
      <c r="B2309" t="str">
        <f>"            sr_paddr_dat["&amp;A2306&amp;"]   &lt;= 24'h0;"</f>
        <v xml:space="preserve">            sr_paddr_dat[197]   &lt;= 24'h0;</v>
      </c>
    </row>
    <row r="2310" spans="1:2" x14ac:dyDescent="0.3">
      <c r="B2310" t="s">
        <v>2</v>
      </c>
    </row>
    <row r="2311" spans="1:2" x14ac:dyDescent="0.3">
      <c r="B2311" t="str">
        <f>"           if (PADDR_CNT == 7'd"&amp;A2306&amp;")"</f>
        <v xml:space="preserve">           if (PADDR_CNT == 7'd197)</v>
      </c>
    </row>
    <row r="2312" spans="1:2" x14ac:dyDescent="0.3">
      <c r="B2312" t="str">
        <f>"               sr_paddr_dat["&amp;A2306&amp;"]  &lt;= sr_page_paddr_buf;"</f>
        <v xml:space="preserve">               sr_paddr_dat[197]  &lt;= sr_page_paddr_buf;</v>
      </c>
    </row>
    <row r="2313" spans="1:2" x14ac:dyDescent="0.3">
      <c r="B2313" t="s">
        <v>3</v>
      </c>
    </row>
    <row r="2314" spans="1:2" x14ac:dyDescent="0.3">
      <c r="B2314" t="str">
        <f>"               sr_paddr_dat["&amp;A2306&amp;"]  &lt;= sr_paddr_dat["&amp;A2306&amp;"];"</f>
        <v xml:space="preserve">               sr_paddr_dat[197]  &lt;= sr_paddr_dat[197];</v>
      </c>
    </row>
    <row r="2315" spans="1:2" x14ac:dyDescent="0.3">
      <c r="B2315" t="s">
        <v>4</v>
      </c>
    </row>
    <row r="2316" spans="1:2" x14ac:dyDescent="0.3">
      <c r="B2316" t="s">
        <v>5</v>
      </c>
    </row>
    <row r="2318" spans="1:2" x14ac:dyDescent="0.3">
      <c r="A2318">
        <f>A2306+1</f>
        <v>198</v>
      </c>
      <c r="B2318" t="str">
        <f>"    // Page Address Resister"&amp;A2318</f>
        <v xml:space="preserve">    // Page Address Resister198</v>
      </c>
    </row>
    <row r="2319" spans="1:2" x14ac:dyDescent="0.3">
      <c r="A2319" t="str">
        <f>DEC2HEX(A2318)</f>
        <v>C6</v>
      </c>
      <c r="B2319" t="s">
        <v>0</v>
      </c>
    </row>
    <row r="2320" spans="1:2" x14ac:dyDescent="0.3">
      <c r="B2320" t="s">
        <v>1</v>
      </c>
    </row>
    <row r="2321" spans="1:2" x14ac:dyDescent="0.3">
      <c r="B2321" t="str">
        <f>"            sr_paddr_dat["&amp;A2318&amp;"]   &lt;= 24'h0;"</f>
        <v xml:space="preserve">            sr_paddr_dat[198]   &lt;= 24'h0;</v>
      </c>
    </row>
    <row r="2322" spans="1:2" x14ac:dyDescent="0.3">
      <c r="B2322" t="s">
        <v>2</v>
      </c>
    </row>
    <row r="2323" spans="1:2" x14ac:dyDescent="0.3">
      <c r="B2323" t="str">
        <f>"           if (PADDR_CNT == 7'd"&amp;A2318&amp;")"</f>
        <v xml:space="preserve">           if (PADDR_CNT == 7'd198)</v>
      </c>
    </row>
    <row r="2324" spans="1:2" x14ac:dyDescent="0.3">
      <c r="B2324" t="str">
        <f>"               sr_paddr_dat["&amp;A2318&amp;"]  &lt;= sr_page_paddr_buf;"</f>
        <v xml:space="preserve">               sr_paddr_dat[198]  &lt;= sr_page_paddr_buf;</v>
      </c>
    </row>
    <row r="2325" spans="1:2" x14ac:dyDescent="0.3">
      <c r="B2325" t="s">
        <v>3</v>
      </c>
    </row>
    <row r="2326" spans="1:2" x14ac:dyDescent="0.3">
      <c r="B2326" t="str">
        <f>"               sr_paddr_dat["&amp;A2318&amp;"]  &lt;= sr_paddr_dat["&amp;A2318&amp;"];"</f>
        <v xml:space="preserve">               sr_paddr_dat[198]  &lt;= sr_paddr_dat[198];</v>
      </c>
    </row>
    <row r="2327" spans="1:2" x14ac:dyDescent="0.3">
      <c r="B2327" t="s">
        <v>4</v>
      </c>
    </row>
    <row r="2328" spans="1:2" x14ac:dyDescent="0.3">
      <c r="B2328" t="s">
        <v>5</v>
      </c>
    </row>
    <row r="2330" spans="1:2" x14ac:dyDescent="0.3">
      <c r="A2330">
        <f>A2318+1</f>
        <v>199</v>
      </c>
      <c r="B2330" t="str">
        <f>"    // Page Address Resister"&amp;A2330</f>
        <v xml:space="preserve">    // Page Address Resister199</v>
      </c>
    </row>
    <row r="2331" spans="1:2" x14ac:dyDescent="0.3">
      <c r="A2331" t="str">
        <f>DEC2HEX(A2330)</f>
        <v>C7</v>
      </c>
      <c r="B2331" t="s">
        <v>0</v>
      </c>
    </row>
    <row r="2332" spans="1:2" x14ac:dyDescent="0.3">
      <c r="B2332" t="s">
        <v>1</v>
      </c>
    </row>
    <row r="2333" spans="1:2" x14ac:dyDescent="0.3">
      <c r="B2333" t="str">
        <f>"            sr_paddr_dat["&amp;A2330&amp;"]   &lt;= 24'h0;"</f>
        <v xml:space="preserve">            sr_paddr_dat[199]   &lt;= 24'h0;</v>
      </c>
    </row>
    <row r="2334" spans="1:2" x14ac:dyDescent="0.3">
      <c r="B2334" t="s">
        <v>2</v>
      </c>
    </row>
    <row r="2335" spans="1:2" x14ac:dyDescent="0.3">
      <c r="B2335" t="str">
        <f>"           if (PADDR_CNT == 7'd"&amp;A2330&amp;")"</f>
        <v xml:space="preserve">           if (PADDR_CNT == 7'd199)</v>
      </c>
    </row>
    <row r="2336" spans="1:2" x14ac:dyDescent="0.3">
      <c r="B2336" t="str">
        <f>"               sr_paddr_dat["&amp;A2330&amp;"]  &lt;= sr_page_paddr_buf;"</f>
        <v xml:space="preserve">               sr_paddr_dat[199]  &lt;= sr_page_paddr_buf;</v>
      </c>
    </row>
    <row r="2337" spans="1:2" x14ac:dyDescent="0.3">
      <c r="B2337" t="s">
        <v>3</v>
      </c>
    </row>
    <row r="2338" spans="1:2" x14ac:dyDescent="0.3">
      <c r="B2338" t="str">
        <f>"               sr_paddr_dat["&amp;A2330&amp;"]  &lt;= sr_paddr_dat["&amp;A2330&amp;"];"</f>
        <v xml:space="preserve">               sr_paddr_dat[199]  &lt;= sr_paddr_dat[199];</v>
      </c>
    </row>
    <row r="2339" spans="1:2" x14ac:dyDescent="0.3">
      <c r="B2339" t="s">
        <v>4</v>
      </c>
    </row>
    <row r="2340" spans="1:2" x14ac:dyDescent="0.3">
      <c r="B2340" t="s">
        <v>5</v>
      </c>
    </row>
    <row r="2342" spans="1:2" x14ac:dyDescent="0.3">
      <c r="A2342">
        <f>A2330+1</f>
        <v>200</v>
      </c>
      <c r="B2342" t="str">
        <f>"    // Page Address Resister"&amp;A2342</f>
        <v xml:space="preserve">    // Page Address Resister200</v>
      </c>
    </row>
    <row r="2343" spans="1:2" x14ac:dyDescent="0.3">
      <c r="A2343" t="str">
        <f>DEC2HEX(A2342)</f>
        <v>C8</v>
      </c>
      <c r="B2343" t="s">
        <v>0</v>
      </c>
    </row>
    <row r="2344" spans="1:2" x14ac:dyDescent="0.3">
      <c r="B2344" t="s">
        <v>1</v>
      </c>
    </row>
    <row r="2345" spans="1:2" x14ac:dyDescent="0.3">
      <c r="B2345" t="str">
        <f>"            sr_paddr_dat["&amp;A2342&amp;"]   &lt;= 24'h0;"</f>
        <v xml:space="preserve">            sr_paddr_dat[200]   &lt;= 24'h0;</v>
      </c>
    </row>
    <row r="2346" spans="1:2" x14ac:dyDescent="0.3">
      <c r="B2346" t="s">
        <v>2</v>
      </c>
    </row>
    <row r="2347" spans="1:2" x14ac:dyDescent="0.3">
      <c r="B2347" t="str">
        <f>"           if (PADDR_CNT == 7'd"&amp;A2342&amp;")"</f>
        <v xml:space="preserve">           if (PADDR_CNT == 7'd200)</v>
      </c>
    </row>
    <row r="2348" spans="1:2" x14ac:dyDescent="0.3">
      <c r="B2348" t="str">
        <f>"               sr_paddr_dat["&amp;A2342&amp;"]  &lt;= sr_page_paddr_buf;"</f>
        <v xml:space="preserve">               sr_paddr_dat[200]  &lt;= sr_page_paddr_buf;</v>
      </c>
    </row>
    <row r="2349" spans="1:2" x14ac:dyDescent="0.3">
      <c r="B2349" t="s">
        <v>3</v>
      </c>
    </row>
    <row r="2350" spans="1:2" x14ac:dyDescent="0.3">
      <c r="B2350" t="str">
        <f>"               sr_paddr_dat["&amp;A2342&amp;"]  &lt;= sr_paddr_dat["&amp;A2342&amp;"];"</f>
        <v xml:space="preserve">               sr_paddr_dat[200]  &lt;= sr_paddr_dat[200];</v>
      </c>
    </row>
    <row r="2351" spans="1:2" x14ac:dyDescent="0.3">
      <c r="B2351" t="s">
        <v>4</v>
      </c>
    </row>
    <row r="2352" spans="1:2" x14ac:dyDescent="0.3">
      <c r="B2352" t="s">
        <v>5</v>
      </c>
    </row>
    <row r="2354" spans="1:2" x14ac:dyDescent="0.3">
      <c r="A2354">
        <f>A2342+1</f>
        <v>201</v>
      </c>
      <c r="B2354" t="str">
        <f>"    // Page Address Resister"&amp;A2354</f>
        <v xml:space="preserve">    // Page Address Resister201</v>
      </c>
    </row>
    <row r="2355" spans="1:2" x14ac:dyDescent="0.3">
      <c r="A2355" t="str">
        <f>DEC2HEX(A2354)</f>
        <v>C9</v>
      </c>
      <c r="B2355" t="s">
        <v>0</v>
      </c>
    </row>
    <row r="2356" spans="1:2" x14ac:dyDescent="0.3">
      <c r="B2356" t="s">
        <v>1</v>
      </c>
    </row>
    <row r="2357" spans="1:2" x14ac:dyDescent="0.3">
      <c r="B2357" t="str">
        <f>"            sr_paddr_dat["&amp;A2354&amp;"]   &lt;= 24'h0;"</f>
        <v xml:space="preserve">            sr_paddr_dat[201]   &lt;= 24'h0;</v>
      </c>
    </row>
    <row r="2358" spans="1:2" x14ac:dyDescent="0.3">
      <c r="B2358" t="s">
        <v>2</v>
      </c>
    </row>
    <row r="2359" spans="1:2" x14ac:dyDescent="0.3">
      <c r="B2359" t="str">
        <f>"           if (PADDR_CNT == 7'd"&amp;A2354&amp;")"</f>
        <v xml:space="preserve">           if (PADDR_CNT == 7'd201)</v>
      </c>
    </row>
    <row r="2360" spans="1:2" x14ac:dyDescent="0.3">
      <c r="B2360" t="str">
        <f>"               sr_paddr_dat["&amp;A2354&amp;"]  &lt;= sr_page_paddr_buf;"</f>
        <v xml:space="preserve">               sr_paddr_dat[201]  &lt;= sr_page_paddr_buf;</v>
      </c>
    </row>
    <row r="2361" spans="1:2" x14ac:dyDescent="0.3">
      <c r="B2361" t="s">
        <v>3</v>
      </c>
    </row>
    <row r="2362" spans="1:2" x14ac:dyDescent="0.3">
      <c r="B2362" t="str">
        <f>"               sr_paddr_dat["&amp;A2354&amp;"]  &lt;= sr_paddr_dat["&amp;A2354&amp;"];"</f>
        <v xml:space="preserve">               sr_paddr_dat[201]  &lt;= sr_paddr_dat[201];</v>
      </c>
    </row>
    <row r="2363" spans="1:2" x14ac:dyDescent="0.3">
      <c r="B2363" t="s">
        <v>4</v>
      </c>
    </row>
    <row r="2364" spans="1:2" x14ac:dyDescent="0.3">
      <c r="B2364" t="s">
        <v>5</v>
      </c>
    </row>
    <row r="2366" spans="1:2" x14ac:dyDescent="0.3">
      <c r="A2366">
        <f>A2354+1</f>
        <v>202</v>
      </c>
      <c r="B2366" t="str">
        <f>"    // Page Address Resister"&amp;A2366</f>
        <v xml:space="preserve">    // Page Address Resister202</v>
      </c>
    </row>
    <row r="2367" spans="1:2" x14ac:dyDescent="0.3">
      <c r="A2367" t="str">
        <f>DEC2HEX(A2366)</f>
        <v>CA</v>
      </c>
      <c r="B2367" t="s">
        <v>0</v>
      </c>
    </row>
    <row r="2368" spans="1:2" x14ac:dyDescent="0.3">
      <c r="B2368" t="s">
        <v>1</v>
      </c>
    </row>
    <row r="2369" spans="1:2" x14ac:dyDescent="0.3">
      <c r="B2369" t="str">
        <f>"            sr_paddr_dat["&amp;A2366&amp;"]   &lt;= 24'h0;"</f>
        <v xml:space="preserve">            sr_paddr_dat[202]   &lt;= 24'h0;</v>
      </c>
    </row>
    <row r="2370" spans="1:2" x14ac:dyDescent="0.3">
      <c r="B2370" t="s">
        <v>2</v>
      </c>
    </row>
    <row r="2371" spans="1:2" x14ac:dyDescent="0.3">
      <c r="B2371" t="str">
        <f>"           if (PADDR_CNT == 7'd"&amp;A2366&amp;")"</f>
        <v xml:space="preserve">           if (PADDR_CNT == 7'd202)</v>
      </c>
    </row>
    <row r="2372" spans="1:2" x14ac:dyDescent="0.3">
      <c r="B2372" t="str">
        <f>"               sr_paddr_dat["&amp;A2366&amp;"]  &lt;= sr_page_paddr_buf;"</f>
        <v xml:space="preserve">               sr_paddr_dat[202]  &lt;= sr_page_paddr_buf;</v>
      </c>
    </row>
    <row r="2373" spans="1:2" x14ac:dyDescent="0.3">
      <c r="B2373" t="s">
        <v>3</v>
      </c>
    </row>
    <row r="2374" spans="1:2" x14ac:dyDescent="0.3">
      <c r="B2374" t="str">
        <f>"               sr_paddr_dat["&amp;A2366&amp;"]  &lt;= sr_paddr_dat["&amp;A2366&amp;"];"</f>
        <v xml:space="preserve">               sr_paddr_dat[202]  &lt;= sr_paddr_dat[202];</v>
      </c>
    </row>
    <row r="2375" spans="1:2" x14ac:dyDescent="0.3">
      <c r="B2375" t="s">
        <v>4</v>
      </c>
    </row>
    <row r="2376" spans="1:2" x14ac:dyDescent="0.3">
      <c r="B2376" t="s">
        <v>5</v>
      </c>
    </row>
    <row r="2378" spans="1:2" x14ac:dyDescent="0.3">
      <c r="A2378">
        <f>A2366+1</f>
        <v>203</v>
      </c>
      <c r="B2378" t="str">
        <f>"    // Page Address Resister"&amp;A2378</f>
        <v xml:space="preserve">    // Page Address Resister203</v>
      </c>
    </row>
    <row r="2379" spans="1:2" x14ac:dyDescent="0.3">
      <c r="A2379" t="str">
        <f>DEC2HEX(A2378)</f>
        <v>CB</v>
      </c>
      <c r="B2379" t="s">
        <v>0</v>
      </c>
    </row>
    <row r="2380" spans="1:2" x14ac:dyDescent="0.3">
      <c r="B2380" t="s">
        <v>1</v>
      </c>
    </row>
    <row r="2381" spans="1:2" x14ac:dyDescent="0.3">
      <c r="B2381" t="str">
        <f>"            sr_paddr_dat["&amp;A2378&amp;"]   &lt;= 24'h0;"</f>
        <v xml:space="preserve">            sr_paddr_dat[203]   &lt;= 24'h0;</v>
      </c>
    </row>
    <row r="2382" spans="1:2" x14ac:dyDescent="0.3">
      <c r="B2382" t="s">
        <v>2</v>
      </c>
    </row>
    <row r="2383" spans="1:2" x14ac:dyDescent="0.3">
      <c r="B2383" t="str">
        <f>"           if (PADDR_CNT == 7'd"&amp;A2378&amp;")"</f>
        <v xml:space="preserve">           if (PADDR_CNT == 7'd203)</v>
      </c>
    </row>
    <row r="2384" spans="1:2" x14ac:dyDescent="0.3">
      <c r="B2384" t="str">
        <f>"               sr_paddr_dat["&amp;A2378&amp;"]  &lt;= sr_page_paddr_buf;"</f>
        <v xml:space="preserve">               sr_paddr_dat[203]  &lt;= sr_page_paddr_buf;</v>
      </c>
    </row>
    <row r="2385" spans="1:2" x14ac:dyDescent="0.3">
      <c r="B2385" t="s">
        <v>3</v>
      </c>
    </row>
    <row r="2386" spans="1:2" x14ac:dyDescent="0.3">
      <c r="B2386" t="str">
        <f>"               sr_paddr_dat["&amp;A2378&amp;"]  &lt;= sr_paddr_dat["&amp;A2378&amp;"];"</f>
        <v xml:space="preserve">               sr_paddr_dat[203]  &lt;= sr_paddr_dat[203];</v>
      </c>
    </row>
    <row r="2387" spans="1:2" x14ac:dyDescent="0.3">
      <c r="B2387" t="s">
        <v>4</v>
      </c>
    </row>
    <row r="2388" spans="1:2" x14ac:dyDescent="0.3">
      <c r="B2388" t="s">
        <v>5</v>
      </c>
    </row>
    <row r="2390" spans="1:2" x14ac:dyDescent="0.3">
      <c r="A2390">
        <f>A2378+1</f>
        <v>204</v>
      </c>
      <c r="B2390" t="str">
        <f>"    // Page Address Resister"&amp;A2390</f>
        <v xml:space="preserve">    // Page Address Resister204</v>
      </c>
    </row>
    <row r="2391" spans="1:2" x14ac:dyDescent="0.3">
      <c r="A2391" t="str">
        <f>DEC2HEX(A2390)</f>
        <v>CC</v>
      </c>
      <c r="B2391" t="s">
        <v>0</v>
      </c>
    </row>
    <row r="2392" spans="1:2" x14ac:dyDescent="0.3">
      <c r="B2392" t="s">
        <v>1</v>
      </c>
    </row>
    <row r="2393" spans="1:2" x14ac:dyDescent="0.3">
      <c r="B2393" t="str">
        <f>"            sr_paddr_dat["&amp;A2390&amp;"]   &lt;= 24'h0;"</f>
        <v xml:space="preserve">            sr_paddr_dat[204]   &lt;= 24'h0;</v>
      </c>
    </row>
    <row r="2394" spans="1:2" x14ac:dyDescent="0.3">
      <c r="B2394" t="s">
        <v>2</v>
      </c>
    </row>
    <row r="2395" spans="1:2" x14ac:dyDescent="0.3">
      <c r="B2395" t="str">
        <f>"           if (PADDR_CNT == 7'd"&amp;A2390&amp;")"</f>
        <v xml:space="preserve">           if (PADDR_CNT == 7'd204)</v>
      </c>
    </row>
    <row r="2396" spans="1:2" x14ac:dyDescent="0.3">
      <c r="B2396" t="str">
        <f>"               sr_paddr_dat["&amp;A2390&amp;"]  &lt;= sr_page_paddr_buf;"</f>
        <v xml:space="preserve">               sr_paddr_dat[204]  &lt;= sr_page_paddr_buf;</v>
      </c>
    </row>
    <row r="2397" spans="1:2" x14ac:dyDescent="0.3">
      <c r="B2397" t="s">
        <v>3</v>
      </c>
    </row>
    <row r="2398" spans="1:2" x14ac:dyDescent="0.3">
      <c r="B2398" t="str">
        <f>"               sr_paddr_dat["&amp;A2390&amp;"]  &lt;= sr_paddr_dat["&amp;A2390&amp;"];"</f>
        <v xml:space="preserve">               sr_paddr_dat[204]  &lt;= sr_paddr_dat[204];</v>
      </c>
    </row>
    <row r="2399" spans="1:2" x14ac:dyDescent="0.3">
      <c r="B2399" t="s">
        <v>4</v>
      </c>
    </row>
    <row r="2400" spans="1:2" x14ac:dyDescent="0.3">
      <c r="B2400" t="s">
        <v>5</v>
      </c>
    </row>
    <row r="2402" spans="1:2" x14ac:dyDescent="0.3">
      <c r="A2402">
        <f>A2390+1</f>
        <v>205</v>
      </c>
      <c r="B2402" t="str">
        <f>"    // Page Address Resister"&amp;A2402</f>
        <v xml:space="preserve">    // Page Address Resister205</v>
      </c>
    </row>
    <row r="2403" spans="1:2" x14ac:dyDescent="0.3">
      <c r="A2403" t="str">
        <f>DEC2HEX(A2402)</f>
        <v>CD</v>
      </c>
      <c r="B2403" t="s">
        <v>0</v>
      </c>
    </row>
    <row r="2404" spans="1:2" x14ac:dyDescent="0.3">
      <c r="B2404" t="s">
        <v>1</v>
      </c>
    </row>
    <row r="2405" spans="1:2" x14ac:dyDescent="0.3">
      <c r="B2405" t="str">
        <f>"            sr_paddr_dat["&amp;A2402&amp;"]   &lt;= 24'h0;"</f>
        <v xml:space="preserve">            sr_paddr_dat[205]   &lt;= 24'h0;</v>
      </c>
    </row>
    <row r="2406" spans="1:2" x14ac:dyDescent="0.3">
      <c r="B2406" t="s">
        <v>2</v>
      </c>
    </row>
    <row r="2407" spans="1:2" x14ac:dyDescent="0.3">
      <c r="B2407" t="str">
        <f>"           if (PADDR_CNT == 7'd"&amp;A2402&amp;")"</f>
        <v xml:space="preserve">           if (PADDR_CNT == 7'd205)</v>
      </c>
    </row>
    <row r="2408" spans="1:2" x14ac:dyDescent="0.3">
      <c r="B2408" t="str">
        <f>"               sr_paddr_dat["&amp;A2402&amp;"]  &lt;= sr_page_paddr_buf;"</f>
        <v xml:space="preserve">               sr_paddr_dat[205]  &lt;= sr_page_paddr_buf;</v>
      </c>
    </row>
    <row r="2409" spans="1:2" x14ac:dyDescent="0.3">
      <c r="B2409" t="s">
        <v>3</v>
      </c>
    </row>
    <row r="2410" spans="1:2" x14ac:dyDescent="0.3">
      <c r="B2410" t="str">
        <f>"               sr_paddr_dat["&amp;A2402&amp;"]  &lt;= sr_paddr_dat["&amp;A2402&amp;"];"</f>
        <v xml:space="preserve">               sr_paddr_dat[205]  &lt;= sr_paddr_dat[205];</v>
      </c>
    </row>
    <row r="2411" spans="1:2" x14ac:dyDescent="0.3">
      <c r="B2411" t="s">
        <v>4</v>
      </c>
    </row>
    <row r="2412" spans="1:2" x14ac:dyDescent="0.3">
      <c r="B2412" t="s">
        <v>5</v>
      </c>
    </row>
    <row r="2414" spans="1:2" x14ac:dyDescent="0.3">
      <c r="A2414">
        <f>A2402+1</f>
        <v>206</v>
      </c>
      <c r="B2414" t="str">
        <f>"    // Page Address Resister"&amp;A2414</f>
        <v xml:space="preserve">    // Page Address Resister206</v>
      </c>
    </row>
    <row r="2415" spans="1:2" x14ac:dyDescent="0.3">
      <c r="A2415" t="str">
        <f>DEC2HEX(A2414)</f>
        <v>CE</v>
      </c>
      <c r="B2415" t="s">
        <v>0</v>
      </c>
    </row>
    <row r="2416" spans="1:2" x14ac:dyDescent="0.3">
      <c r="B2416" t="s">
        <v>1</v>
      </c>
    </row>
    <row r="2417" spans="1:2" x14ac:dyDescent="0.3">
      <c r="B2417" t="str">
        <f>"            sr_paddr_dat["&amp;A2414&amp;"]   &lt;= 24'h0;"</f>
        <v xml:space="preserve">            sr_paddr_dat[206]   &lt;= 24'h0;</v>
      </c>
    </row>
    <row r="2418" spans="1:2" x14ac:dyDescent="0.3">
      <c r="B2418" t="s">
        <v>2</v>
      </c>
    </row>
    <row r="2419" spans="1:2" x14ac:dyDescent="0.3">
      <c r="B2419" t="str">
        <f>"           if (PADDR_CNT == 7'd"&amp;A2414&amp;")"</f>
        <v xml:space="preserve">           if (PADDR_CNT == 7'd206)</v>
      </c>
    </row>
    <row r="2420" spans="1:2" x14ac:dyDescent="0.3">
      <c r="B2420" t="str">
        <f>"               sr_paddr_dat["&amp;A2414&amp;"]  &lt;= sr_page_paddr_buf;"</f>
        <v xml:space="preserve">               sr_paddr_dat[206]  &lt;= sr_page_paddr_buf;</v>
      </c>
    </row>
    <row r="2421" spans="1:2" x14ac:dyDescent="0.3">
      <c r="B2421" t="s">
        <v>3</v>
      </c>
    </row>
    <row r="2422" spans="1:2" x14ac:dyDescent="0.3">
      <c r="B2422" t="str">
        <f>"               sr_paddr_dat["&amp;A2414&amp;"]  &lt;= sr_paddr_dat["&amp;A2414&amp;"];"</f>
        <v xml:space="preserve">               sr_paddr_dat[206]  &lt;= sr_paddr_dat[206];</v>
      </c>
    </row>
    <row r="2423" spans="1:2" x14ac:dyDescent="0.3">
      <c r="B2423" t="s">
        <v>4</v>
      </c>
    </row>
    <row r="2424" spans="1:2" x14ac:dyDescent="0.3">
      <c r="B2424" t="s">
        <v>5</v>
      </c>
    </row>
    <row r="2426" spans="1:2" x14ac:dyDescent="0.3">
      <c r="A2426">
        <f>A2414+1</f>
        <v>207</v>
      </c>
      <c r="B2426" t="str">
        <f>"    // Page Address Resister"&amp;A2426</f>
        <v xml:space="preserve">    // Page Address Resister207</v>
      </c>
    </row>
    <row r="2427" spans="1:2" x14ac:dyDescent="0.3">
      <c r="A2427" t="str">
        <f>DEC2HEX(A2426)</f>
        <v>CF</v>
      </c>
      <c r="B2427" t="s">
        <v>0</v>
      </c>
    </row>
    <row r="2428" spans="1:2" x14ac:dyDescent="0.3">
      <c r="B2428" t="s">
        <v>1</v>
      </c>
    </row>
    <row r="2429" spans="1:2" x14ac:dyDescent="0.3">
      <c r="B2429" t="str">
        <f>"            sr_paddr_dat["&amp;A2426&amp;"]   &lt;= 24'h0;"</f>
        <v xml:space="preserve">            sr_paddr_dat[207]   &lt;= 24'h0;</v>
      </c>
    </row>
    <row r="2430" spans="1:2" x14ac:dyDescent="0.3">
      <c r="B2430" t="s">
        <v>2</v>
      </c>
    </row>
    <row r="2431" spans="1:2" x14ac:dyDescent="0.3">
      <c r="B2431" t="str">
        <f>"           if (PADDR_CNT == 7'd"&amp;A2426&amp;")"</f>
        <v xml:space="preserve">           if (PADDR_CNT == 7'd207)</v>
      </c>
    </row>
    <row r="2432" spans="1:2" x14ac:dyDescent="0.3">
      <c r="B2432" t="str">
        <f>"               sr_paddr_dat["&amp;A2426&amp;"]  &lt;= sr_page_paddr_buf;"</f>
        <v xml:space="preserve">               sr_paddr_dat[207]  &lt;= sr_page_paddr_buf;</v>
      </c>
    </row>
    <row r="2433" spans="1:2" x14ac:dyDescent="0.3">
      <c r="B2433" t="s">
        <v>3</v>
      </c>
    </row>
    <row r="2434" spans="1:2" x14ac:dyDescent="0.3">
      <c r="B2434" t="str">
        <f>"               sr_paddr_dat["&amp;A2426&amp;"]  &lt;= sr_paddr_dat["&amp;A2426&amp;"];"</f>
        <v xml:space="preserve">               sr_paddr_dat[207]  &lt;= sr_paddr_dat[207];</v>
      </c>
    </row>
    <row r="2435" spans="1:2" x14ac:dyDescent="0.3">
      <c r="B2435" t="s">
        <v>4</v>
      </c>
    </row>
    <row r="2436" spans="1:2" x14ac:dyDescent="0.3">
      <c r="B2436" t="s">
        <v>5</v>
      </c>
    </row>
    <row r="2438" spans="1:2" x14ac:dyDescent="0.3">
      <c r="A2438">
        <f>A2426+1</f>
        <v>208</v>
      </c>
      <c r="B2438" t="str">
        <f>"    // Page Address Resister"&amp;A2438</f>
        <v xml:space="preserve">    // Page Address Resister208</v>
      </c>
    </row>
    <row r="2439" spans="1:2" x14ac:dyDescent="0.3">
      <c r="A2439" t="str">
        <f>DEC2HEX(A2438)</f>
        <v>D0</v>
      </c>
      <c r="B2439" t="s">
        <v>0</v>
      </c>
    </row>
    <row r="2440" spans="1:2" x14ac:dyDescent="0.3">
      <c r="B2440" t="s">
        <v>1</v>
      </c>
    </row>
    <row r="2441" spans="1:2" x14ac:dyDescent="0.3">
      <c r="B2441" t="str">
        <f>"            sr_paddr_dat["&amp;A2438&amp;"]   &lt;= 24'h0;"</f>
        <v xml:space="preserve">            sr_paddr_dat[208]   &lt;= 24'h0;</v>
      </c>
    </row>
    <row r="2442" spans="1:2" x14ac:dyDescent="0.3">
      <c r="B2442" t="s">
        <v>2</v>
      </c>
    </row>
    <row r="2443" spans="1:2" x14ac:dyDescent="0.3">
      <c r="B2443" t="str">
        <f>"           if (PADDR_CNT == 7'd"&amp;A2438&amp;")"</f>
        <v xml:space="preserve">           if (PADDR_CNT == 7'd208)</v>
      </c>
    </row>
    <row r="2444" spans="1:2" x14ac:dyDescent="0.3">
      <c r="B2444" t="str">
        <f>"               sr_paddr_dat["&amp;A2438&amp;"]  &lt;= sr_page_paddr_buf;"</f>
        <v xml:space="preserve">               sr_paddr_dat[208]  &lt;= sr_page_paddr_buf;</v>
      </c>
    </row>
    <row r="2445" spans="1:2" x14ac:dyDescent="0.3">
      <c r="B2445" t="s">
        <v>3</v>
      </c>
    </row>
    <row r="2446" spans="1:2" x14ac:dyDescent="0.3">
      <c r="B2446" t="str">
        <f>"               sr_paddr_dat["&amp;A2438&amp;"]  &lt;= sr_paddr_dat["&amp;A2438&amp;"];"</f>
        <v xml:space="preserve">               sr_paddr_dat[208]  &lt;= sr_paddr_dat[208];</v>
      </c>
    </row>
    <row r="2447" spans="1:2" x14ac:dyDescent="0.3">
      <c r="B2447" t="s">
        <v>4</v>
      </c>
    </row>
    <row r="2448" spans="1:2" x14ac:dyDescent="0.3">
      <c r="B2448" t="s">
        <v>5</v>
      </c>
    </row>
    <row r="2450" spans="1:2" x14ac:dyDescent="0.3">
      <c r="A2450">
        <f>A2438+1</f>
        <v>209</v>
      </c>
      <c r="B2450" t="str">
        <f>"    // Page Address Resister"&amp;A2450</f>
        <v xml:space="preserve">    // Page Address Resister209</v>
      </c>
    </row>
    <row r="2451" spans="1:2" x14ac:dyDescent="0.3">
      <c r="A2451" t="str">
        <f>DEC2HEX(A2450)</f>
        <v>D1</v>
      </c>
      <c r="B2451" t="s">
        <v>0</v>
      </c>
    </row>
    <row r="2452" spans="1:2" x14ac:dyDescent="0.3">
      <c r="B2452" t="s">
        <v>1</v>
      </c>
    </row>
    <row r="2453" spans="1:2" x14ac:dyDescent="0.3">
      <c r="B2453" t="str">
        <f>"            sr_paddr_dat["&amp;A2450&amp;"]   &lt;= 24'h0;"</f>
        <v xml:space="preserve">            sr_paddr_dat[209]   &lt;= 24'h0;</v>
      </c>
    </row>
    <row r="2454" spans="1:2" x14ac:dyDescent="0.3">
      <c r="B2454" t="s">
        <v>2</v>
      </c>
    </row>
    <row r="2455" spans="1:2" x14ac:dyDescent="0.3">
      <c r="B2455" t="str">
        <f>"           if (PADDR_CNT == 7'd"&amp;A2450&amp;")"</f>
        <v xml:space="preserve">           if (PADDR_CNT == 7'd209)</v>
      </c>
    </row>
    <row r="2456" spans="1:2" x14ac:dyDescent="0.3">
      <c r="B2456" t="str">
        <f>"               sr_paddr_dat["&amp;A2450&amp;"]  &lt;= sr_page_paddr_buf;"</f>
        <v xml:space="preserve">               sr_paddr_dat[209]  &lt;= sr_page_paddr_buf;</v>
      </c>
    </row>
    <row r="2457" spans="1:2" x14ac:dyDescent="0.3">
      <c r="B2457" t="s">
        <v>3</v>
      </c>
    </row>
    <row r="2458" spans="1:2" x14ac:dyDescent="0.3">
      <c r="B2458" t="str">
        <f>"               sr_paddr_dat["&amp;A2450&amp;"]  &lt;= sr_paddr_dat["&amp;A2450&amp;"];"</f>
        <v xml:space="preserve">               sr_paddr_dat[209]  &lt;= sr_paddr_dat[209];</v>
      </c>
    </row>
    <row r="2459" spans="1:2" x14ac:dyDescent="0.3">
      <c r="B2459" t="s">
        <v>4</v>
      </c>
    </row>
    <row r="2460" spans="1:2" x14ac:dyDescent="0.3">
      <c r="B2460" t="s">
        <v>5</v>
      </c>
    </row>
    <row r="2462" spans="1:2" x14ac:dyDescent="0.3">
      <c r="A2462">
        <f>A2450+1</f>
        <v>210</v>
      </c>
      <c r="B2462" t="str">
        <f>"    // Page Address Resister"&amp;A2462</f>
        <v xml:space="preserve">    // Page Address Resister210</v>
      </c>
    </row>
    <row r="2463" spans="1:2" x14ac:dyDescent="0.3">
      <c r="A2463" t="str">
        <f>DEC2HEX(A2462)</f>
        <v>D2</v>
      </c>
      <c r="B2463" t="s">
        <v>0</v>
      </c>
    </row>
    <row r="2464" spans="1:2" x14ac:dyDescent="0.3">
      <c r="B2464" t="s">
        <v>1</v>
      </c>
    </row>
    <row r="2465" spans="1:2" x14ac:dyDescent="0.3">
      <c r="B2465" t="str">
        <f>"            sr_paddr_dat["&amp;A2462&amp;"]   &lt;= 24'h0;"</f>
        <v xml:space="preserve">            sr_paddr_dat[210]   &lt;= 24'h0;</v>
      </c>
    </row>
    <row r="2466" spans="1:2" x14ac:dyDescent="0.3">
      <c r="B2466" t="s">
        <v>2</v>
      </c>
    </row>
    <row r="2467" spans="1:2" x14ac:dyDescent="0.3">
      <c r="B2467" t="str">
        <f>"           if (PADDR_CNT == 7'd"&amp;A2462&amp;")"</f>
        <v xml:space="preserve">           if (PADDR_CNT == 7'd210)</v>
      </c>
    </row>
    <row r="2468" spans="1:2" x14ac:dyDescent="0.3">
      <c r="B2468" t="str">
        <f>"               sr_paddr_dat["&amp;A2462&amp;"]  &lt;= sr_page_paddr_buf;"</f>
        <v xml:space="preserve">               sr_paddr_dat[210]  &lt;= sr_page_paddr_buf;</v>
      </c>
    </row>
    <row r="2469" spans="1:2" x14ac:dyDescent="0.3">
      <c r="B2469" t="s">
        <v>3</v>
      </c>
    </row>
    <row r="2470" spans="1:2" x14ac:dyDescent="0.3">
      <c r="B2470" t="str">
        <f>"               sr_paddr_dat["&amp;A2462&amp;"]  &lt;= sr_paddr_dat["&amp;A2462&amp;"];"</f>
        <v xml:space="preserve">               sr_paddr_dat[210]  &lt;= sr_paddr_dat[210];</v>
      </c>
    </row>
    <row r="2471" spans="1:2" x14ac:dyDescent="0.3">
      <c r="B2471" t="s">
        <v>4</v>
      </c>
    </row>
    <row r="2472" spans="1:2" x14ac:dyDescent="0.3">
      <c r="B2472" t="s">
        <v>5</v>
      </c>
    </row>
    <row r="2474" spans="1:2" x14ac:dyDescent="0.3">
      <c r="A2474">
        <f>A2462+1</f>
        <v>211</v>
      </c>
      <c r="B2474" t="str">
        <f>"    // Page Address Resister"&amp;A2474</f>
        <v xml:space="preserve">    // Page Address Resister211</v>
      </c>
    </row>
    <row r="2475" spans="1:2" x14ac:dyDescent="0.3">
      <c r="A2475" t="str">
        <f>DEC2HEX(A2474)</f>
        <v>D3</v>
      </c>
      <c r="B2475" t="s">
        <v>0</v>
      </c>
    </row>
    <row r="2476" spans="1:2" x14ac:dyDescent="0.3">
      <c r="B2476" t="s">
        <v>1</v>
      </c>
    </row>
    <row r="2477" spans="1:2" x14ac:dyDescent="0.3">
      <c r="B2477" t="str">
        <f>"            sr_paddr_dat["&amp;A2474&amp;"]   &lt;= 24'h0;"</f>
        <v xml:space="preserve">            sr_paddr_dat[211]   &lt;= 24'h0;</v>
      </c>
    </row>
    <row r="2478" spans="1:2" x14ac:dyDescent="0.3">
      <c r="B2478" t="s">
        <v>2</v>
      </c>
    </row>
    <row r="2479" spans="1:2" x14ac:dyDescent="0.3">
      <c r="B2479" t="str">
        <f>"           if (PADDR_CNT == 7'd"&amp;A2474&amp;")"</f>
        <v xml:space="preserve">           if (PADDR_CNT == 7'd211)</v>
      </c>
    </row>
    <row r="2480" spans="1:2" x14ac:dyDescent="0.3">
      <c r="B2480" t="str">
        <f>"               sr_paddr_dat["&amp;A2474&amp;"]  &lt;= sr_page_paddr_buf;"</f>
        <v xml:space="preserve">               sr_paddr_dat[211]  &lt;= sr_page_paddr_buf;</v>
      </c>
    </row>
    <row r="2481" spans="1:2" x14ac:dyDescent="0.3">
      <c r="B2481" t="s">
        <v>3</v>
      </c>
    </row>
    <row r="2482" spans="1:2" x14ac:dyDescent="0.3">
      <c r="B2482" t="str">
        <f>"               sr_paddr_dat["&amp;A2474&amp;"]  &lt;= sr_paddr_dat["&amp;A2474&amp;"];"</f>
        <v xml:space="preserve">               sr_paddr_dat[211]  &lt;= sr_paddr_dat[211];</v>
      </c>
    </row>
    <row r="2483" spans="1:2" x14ac:dyDescent="0.3">
      <c r="B2483" t="s">
        <v>4</v>
      </c>
    </row>
    <row r="2484" spans="1:2" x14ac:dyDescent="0.3">
      <c r="B2484" t="s">
        <v>5</v>
      </c>
    </row>
    <row r="2486" spans="1:2" x14ac:dyDescent="0.3">
      <c r="A2486">
        <f>A2474+1</f>
        <v>212</v>
      </c>
      <c r="B2486" t="str">
        <f>"    // Page Address Resister"&amp;A2486</f>
        <v xml:space="preserve">    // Page Address Resister212</v>
      </c>
    </row>
    <row r="2487" spans="1:2" x14ac:dyDescent="0.3">
      <c r="A2487" t="str">
        <f>DEC2HEX(A2486)</f>
        <v>D4</v>
      </c>
      <c r="B2487" t="s">
        <v>0</v>
      </c>
    </row>
    <row r="2488" spans="1:2" x14ac:dyDescent="0.3">
      <c r="B2488" t="s">
        <v>1</v>
      </c>
    </row>
    <row r="2489" spans="1:2" x14ac:dyDescent="0.3">
      <c r="B2489" t="str">
        <f>"            sr_paddr_dat["&amp;A2486&amp;"]   &lt;= 24'h0;"</f>
        <v xml:space="preserve">            sr_paddr_dat[212]   &lt;= 24'h0;</v>
      </c>
    </row>
    <row r="2490" spans="1:2" x14ac:dyDescent="0.3">
      <c r="B2490" t="s">
        <v>2</v>
      </c>
    </row>
    <row r="2491" spans="1:2" x14ac:dyDescent="0.3">
      <c r="B2491" t="str">
        <f>"           if (PADDR_CNT == 7'd"&amp;A2486&amp;")"</f>
        <v xml:space="preserve">           if (PADDR_CNT == 7'd212)</v>
      </c>
    </row>
    <row r="2492" spans="1:2" x14ac:dyDescent="0.3">
      <c r="B2492" t="str">
        <f>"               sr_paddr_dat["&amp;A2486&amp;"]  &lt;= sr_page_paddr_buf;"</f>
        <v xml:space="preserve">               sr_paddr_dat[212]  &lt;= sr_page_paddr_buf;</v>
      </c>
    </row>
    <row r="2493" spans="1:2" x14ac:dyDescent="0.3">
      <c r="B2493" t="s">
        <v>3</v>
      </c>
    </row>
    <row r="2494" spans="1:2" x14ac:dyDescent="0.3">
      <c r="B2494" t="str">
        <f>"               sr_paddr_dat["&amp;A2486&amp;"]  &lt;= sr_paddr_dat["&amp;A2486&amp;"];"</f>
        <v xml:space="preserve">               sr_paddr_dat[212]  &lt;= sr_paddr_dat[212];</v>
      </c>
    </row>
    <row r="2495" spans="1:2" x14ac:dyDescent="0.3">
      <c r="B2495" t="s">
        <v>4</v>
      </c>
    </row>
    <row r="2496" spans="1:2" x14ac:dyDescent="0.3">
      <c r="B2496" t="s">
        <v>5</v>
      </c>
    </row>
    <row r="2498" spans="1:2" x14ac:dyDescent="0.3">
      <c r="A2498">
        <f>A2486+1</f>
        <v>213</v>
      </c>
      <c r="B2498" t="str">
        <f>"    // Page Address Resister"&amp;A2498</f>
        <v xml:space="preserve">    // Page Address Resister213</v>
      </c>
    </row>
    <row r="2499" spans="1:2" x14ac:dyDescent="0.3">
      <c r="A2499" t="str">
        <f>DEC2HEX(A2498)</f>
        <v>D5</v>
      </c>
      <c r="B2499" t="s">
        <v>0</v>
      </c>
    </row>
    <row r="2500" spans="1:2" x14ac:dyDescent="0.3">
      <c r="B2500" t="s">
        <v>1</v>
      </c>
    </row>
    <row r="2501" spans="1:2" x14ac:dyDescent="0.3">
      <c r="B2501" t="str">
        <f>"            sr_paddr_dat["&amp;A2498&amp;"]   &lt;= 24'h0;"</f>
        <v xml:space="preserve">            sr_paddr_dat[213]   &lt;= 24'h0;</v>
      </c>
    </row>
    <row r="2502" spans="1:2" x14ac:dyDescent="0.3">
      <c r="B2502" t="s">
        <v>2</v>
      </c>
    </row>
    <row r="2503" spans="1:2" x14ac:dyDescent="0.3">
      <c r="B2503" t="str">
        <f>"           if (PADDR_CNT == 7'd"&amp;A2498&amp;")"</f>
        <v xml:space="preserve">           if (PADDR_CNT == 7'd213)</v>
      </c>
    </row>
    <row r="2504" spans="1:2" x14ac:dyDescent="0.3">
      <c r="B2504" t="str">
        <f>"               sr_paddr_dat["&amp;A2498&amp;"]  &lt;= sr_page_paddr_buf;"</f>
        <v xml:space="preserve">               sr_paddr_dat[213]  &lt;= sr_page_paddr_buf;</v>
      </c>
    </row>
    <row r="2505" spans="1:2" x14ac:dyDescent="0.3">
      <c r="B2505" t="s">
        <v>3</v>
      </c>
    </row>
    <row r="2506" spans="1:2" x14ac:dyDescent="0.3">
      <c r="B2506" t="str">
        <f>"               sr_paddr_dat["&amp;A2498&amp;"]  &lt;= sr_paddr_dat["&amp;A2498&amp;"];"</f>
        <v xml:space="preserve">               sr_paddr_dat[213]  &lt;= sr_paddr_dat[213];</v>
      </c>
    </row>
    <row r="2507" spans="1:2" x14ac:dyDescent="0.3">
      <c r="B2507" t="s">
        <v>4</v>
      </c>
    </row>
    <row r="2508" spans="1:2" x14ac:dyDescent="0.3">
      <c r="B2508" t="s">
        <v>5</v>
      </c>
    </row>
    <row r="2510" spans="1:2" x14ac:dyDescent="0.3">
      <c r="A2510">
        <f>A2498+1</f>
        <v>214</v>
      </c>
      <c r="B2510" t="str">
        <f>"    // Page Address Resister"&amp;A2510</f>
        <v xml:space="preserve">    // Page Address Resister214</v>
      </c>
    </row>
    <row r="2511" spans="1:2" x14ac:dyDescent="0.3">
      <c r="A2511" t="str">
        <f>DEC2HEX(A2510)</f>
        <v>D6</v>
      </c>
      <c r="B2511" t="s">
        <v>0</v>
      </c>
    </row>
    <row r="2512" spans="1:2" x14ac:dyDescent="0.3">
      <c r="B2512" t="s">
        <v>1</v>
      </c>
    </row>
    <row r="2513" spans="1:2" x14ac:dyDescent="0.3">
      <c r="B2513" t="str">
        <f>"            sr_paddr_dat["&amp;A2510&amp;"]   &lt;= 24'h0;"</f>
        <v xml:space="preserve">            sr_paddr_dat[214]   &lt;= 24'h0;</v>
      </c>
    </row>
    <row r="2514" spans="1:2" x14ac:dyDescent="0.3">
      <c r="B2514" t="s">
        <v>2</v>
      </c>
    </row>
    <row r="2515" spans="1:2" x14ac:dyDescent="0.3">
      <c r="B2515" t="str">
        <f>"           if (PADDR_CNT == 7'd"&amp;A2510&amp;")"</f>
        <v xml:space="preserve">           if (PADDR_CNT == 7'd214)</v>
      </c>
    </row>
    <row r="2516" spans="1:2" x14ac:dyDescent="0.3">
      <c r="B2516" t="str">
        <f>"               sr_paddr_dat["&amp;A2510&amp;"]  &lt;= sr_page_paddr_buf;"</f>
        <v xml:space="preserve">               sr_paddr_dat[214]  &lt;= sr_page_paddr_buf;</v>
      </c>
    </row>
    <row r="2517" spans="1:2" x14ac:dyDescent="0.3">
      <c r="B2517" t="s">
        <v>3</v>
      </c>
    </row>
    <row r="2518" spans="1:2" x14ac:dyDescent="0.3">
      <c r="B2518" t="str">
        <f>"               sr_paddr_dat["&amp;A2510&amp;"]  &lt;= sr_paddr_dat["&amp;A2510&amp;"];"</f>
        <v xml:space="preserve">               sr_paddr_dat[214]  &lt;= sr_paddr_dat[214];</v>
      </c>
    </row>
    <row r="2519" spans="1:2" x14ac:dyDescent="0.3">
      <c r="B2519" t="s">
        <v>4</v>
      </c>
    </row>
    <row r="2520" spans="1:2" x14ac:dyDescent="0.3">
      <c r="B2520" t="s">
        <v>5</v>
      </c>
    </row>
    <row r="2522" spans="1:2" x14ac:dyDescent="0.3">
      <c r="A2522">
        <f>A2510+1</f>
        <v>215</v>
      </c>
      <c r="B2522" t="str">
        <f>"    // Page Address Resister"&amp;A2522</f>
        <v xml:space="preserve">    // Page Address Resister215</v>
      </c>
    </row>
    <row r="2523" spans="1:2" x14ac:dyDescent="0.3">
      <c r="A2523" t="str">
        <f>DEC2HEX(A2522)</f>
        <v>D7</v>
      </c>
      <c r="B2523" t="s">
        <v>0</v>
      </c>
    </row>
    <row r="2524" spans="1:2" x14ac:dyDescent="0.3">
      <c r="B2524" t="s">
        <v>1</v>
      </c>
    </row>
    <row r="2525" spans="1:2" x14ac:dyDescent="0.3">
      <c r="B2525" t="str">
        <f>"            sr_paddr_dat["&amp;A2522&amp;"]   &lt;= 24'h0;"</f>
        <v xml:space="preserve">            sr_paddr_dat[215]   &lt;= 24'h0;</v>
      </c>
    </row>
    <row r="2526" spans="1:2" x14ac:dyDescent="0.3">
      <c r="B2526" t="s">
        <v>2</v>
      </c>
    </row>
    <row r="2527" spans="1:2" x14ac:dyDescent="0.3">
      <c r="B2527" t="str">
        <f>"           if (PADDR_CNT == 7'd"&amp;A2522&amp;")"</f>
        <v xml:space="preserve">           if (PADDR_CNT == 7'd215)</v>
      </c>
    </row>
    <row r="2528" spans="1:2" x14ac:dyDescent="0.3">
      <c r="B2528" t="str">
        <f>"               sr_paddr_dat["&amp;A2522&amp;"]  &lt;= sr_page_paddr_buf;"</f>
        <v xml:space="preserve">               sr_paddr_dat[215]  &lt;= sr_page_paddr_buf;</v>
      </c>
    </row>
    <row r="2529" spans="1:2" x14ac:dyDescent="0.3">
      <c r="B2529" t="s">
        <v>3</v>
      </c>
    </row>
    <row r="2530" spans="1:2" x14ac:dyDescent="0.3">
      <c r="B2530" t="str">
        <f>"               sr_paddr_dat["&amp;A2522&amp;"]  &lt;= sr_paddr_dat["&amp;A2522&amp;"];"</f>
        <v xml:space="preserve">               sr_paddr_dat[215]  &lt;= sr_paddr_dat[215];</v>
      </c>
    </row>
    <row r="2531" spans="1:2" x14ac:dyDescent="0.3">
      <c r="B2531" t="s">
        <v>4</v>
      </c>
    </row>
    <row r="2532" spans="1:2" x14ac:dyDescent="0.3">
      <c r="B2532" t="s">
        <v>5</v>
      </c>
    </row>
    <row r="2534" spans="1:2" x14ac:dyDescent="0.3">
      <c r="A2534">
        <f>A2522+1</f>
        <v>216</v>
      </c>
      <c r="B2534" t="str">
        <f>"    // Page Address Resister"&amp;A2534</f>
        <v xml:space="preserve">    // Page Address Resister216</v>
      </c>
    </row>
    <row r="2535" spans="1:2" x14ac:dyDescent="0.3">
      <c r="A2535" t="str">
        <f>DEC2HEX(A2534)</f>
        <v>D8</v>
      </c>
      <c r="B2535" t="s">
        <v>0</v>
      </c>
    </row>
    <row r="2536" spans="1:2" x14ac:dyDescent="0.3">
      <c r="B2536" t="s">
        <v>1</v>
      </c>
    </row>
    <row r="2537" spans="1:2" x14ac:dyDescent="0.3">
      <c r="B2537" t="str">
        <f>"            sr_paddr_dat["&amp;A2534&amp;"]   &lt;= 24'h0;"</f>
        <v xml:space="preserve">            sr_paddr_dat[216]   &lt;= 24'h0;</v>
      </c>
    </row>
    <row r="2538" spans="1:2" x14ac:dyDescent="0.3">
      <c r="B2538" t="s">
        <v>2</v>
      </c>
    </row>
    <row r="2539" spans="1:2" x14ac:dyDescent="0.3">
      <c r="B2539" t="str">
        <f>"           if (PADDR_CNT == 7'd"&amp;A2534&amp;")"</f>
        <v xml:space="preserve">           if (PADDR_CNT == 7'd216)</v>
      </c>
    </row>
    <row r="2540" spans="1:2" x14ac:dyDescent="0.3">
      <c r="B2540" t="str">
        <f>"               sr_paddr_dat["&amp;A2534&amp;"]  &lt;= sr_page_paddr_buf;"</f>
        <v xml:space="preserve">               sr_paddr_dat[216]  &lt;= sr_page_paddr_buf;</v>
      </c>
    </row>
    <row r="2541" spans="1:2" x14ac:dyDescent="0.3">
      <c r="B2541" t="s">
        <v>3</v>
      </c>
    </row>
    <row r="2542" spans="1:2" x14ac:dyDescent="0.3">
      <c r="B2542" t="str">
        <f>"               sr_paddr_dat["&amp;A2534&amp;"]  &lt;= sr_paddr_dat["&amp;A2534&amp;"];"</f>
        <v xml:space="preserve">               sr_paddr_dat[216]  &lt;= sr_paddr_dat[216];</v>
      </c>
    </row>
    <row r="2543" spans="1:2" x14ac:dyDescent="0.3">
      <c r="B2543" t="s">
        <v>4</v>
      </c>
    </row>
    <row r="2544" spans="1:2" x14ac:dyDescent="0.3">
      <c r="B2544" t="s">
        <v>5</v>
      </c>
    </row>
    <row r="2546" spans="1:2" x14ac:dyDescent="0.3">
      <c r="A2546">
        <f>A2534+1</f>
        <v>217</v>
      </c>
      <c r="B2546" t="str">
        <f>"    // Page Address Resister"&amp;A2546</f>
        <v xml:space="preserve">    // Page Address Resister217</v>
      </c>
    </row>
    <row r="2547" spans="1:2" x14ac:dyDescent="0.3">
      <c r="A2547" t="str">
        <f>DEC2HEX(A2546)</f>
        <v>D9</v>
      </c>
      <c r="B2547" t="s">
        <v>0</v>
      </c>
    </row>
    <row r="2548" spans="1:2" x14ac:dyDescent="0.3">
      <c r="B2548" t="s">
        <v>1</v>
      </c>
    </row>
    <row r="2549" spans="1:2" x14ac:dyDescent="0.3">
      <c r="B2549" t="str">
        <f>"            sr_paddr_dat["&amp;A2546&amp;"]   &lt;= 24'h0;"</f>
        <v xml:space="preserve">            sr_paddr_dat[217]   &lt;= 24'h0;</v>
      </c>
    </row>
    <row r="2550" spans="1:2" x14ac:dyDescent="0.3">
      <c r="B2550" t="s">
        <v>2</v>
      </c>
    </row>
    <row r="2551" spans="1:2" x14ac:dyDescent="0.3">
      <c r="B2551" t="str">
        <f>"           if (PADDR_CNT == 7'd"&amp;A2546&amp;")"</f>
        <v xml:space="preserve">           if (PADDR_CNT == 7'd217)</v>
      </c>
    </row>
    <row r="2552" spans="1:2" x14ac:dyDescent="0.3">
      <c r="B2552" t="str">
        <f>"               sr_paddr_dat["&amp;A2546&amp;"]  &lt;= sr_page_paddr_buf;"</f>
        <v xml:space="preserve">               sr_paddr_dat[217]  &lt;= sr_page_paddr_buf;</v>
      </c>
    </row>
    <row r="2553" spans="1:2" x14ac:dyDescent="0.3">
      <c r="B2553" t="s">
        <v>3</v>
      </c>
    </row>
    <row r="2554" spans="1:2" x14ac:dyDescent="0.3">
      <c r="B2554" t="str">
        <f>"               sr_paddr_dat["&amp;A2546&amp;"]  &lt;= sr_paddr_dat["&amp;A2546&amp;"];"</f>
        <v xml:space="preserve">               sr_paddr_dat[217]  &lt;= sr_paddr_dat[217];</v>
      </c>
    </row>
    <row r="2555" spans="1:2" x14ac:dyDescent="0.3">
      <c r="B2555" t="s">
        <v>4</v>
      </c>
    </row>
    <row r="2556" spans="1:2" x14ac:dyDescent="0.3">
      <c r="B2556" t="s">
        <v>5</v>
      </c>
    </row>
    <row r="2558" spans="1:2" x14ac:dyDescent="0.3">
      <c r="A2558">
        <f>A2546+1</f>
        <v>218</v>
      </c>
      <c r="B2558" t="str">
        <f>"    // Page Address Resister"&amp;A2558</f>
        <v xml:space="preserve">    // Page Address Resister218</v>
      </c>
    </row>
    <row r="2559" spans="1:2" x14ac:dyDescent="0.3">
      <c r="A2559" t="str">
        <f>DEC2HEX(A2558)</f>
        <v>DA</v>
      </c>
      <c r="B2559" t="s">
        <v>0</v>
      </c>
    </row>
    <row r="2560" spans="1:2" x14ac:dyDescent="0.3">
      <c r="B2560" t="s">
        <v>1</v>
      </c>
    </row>
    <row r="2561" spans="1:2" x14ac:dyDescent="0.3">
      <c r="B2561" t="str">
        <f>"            sr_paddr_dat["&amp;A2558&amp;"]   &lt;= 24'h0;"</f>
        <v xml:space="preserve">            sr_paddr_dat[218]   &lt;= 24'h0;</v>
      </c>
    </row>
    <row r="2562" spans="1:2" x14ac:dyDescent="0.3">
      <c r="B2562" t="s">
        <v>2</v>
      </c>
    </row>
    <row r="2563" spans="1:2" x14ac:dyDescent="0.3">
      <c r="B2563" t="str">
        <f>"           if (PADDR_CNT == 7'd"&amp;A2558&amp;")"</f>
        <v xml:space="preserve">           if (PADDR_CNT == 7'd218)</v>
      </c>
    </row>
    <row r="2564" spans="1:2" x14ac:dyDescent="0.3">
      <c r="B2564" t="str">
        <f>"               sr_paddr_dat["&amp;A2558&amp;"]  &lt;= sr_page_paddr_buf;"</f>
        <v xml:space="preserve">               sr_paddr_dat[218]  &lt;= sr_page_paddr_buf;</v>
      </c>
    </row>
    <row r="2565" spans="1:2" x14ac:dyDescent="0.3">
      <c r="B2565" t="s">
        <v>3</v>
      </c>
    </row>
    <row r="2566" spans="1:2" x14ac:dyDescent="0.3">
      <c r="B2566" t="str">
        <f>"               sr_paddr_dat["&amp;A2558&amp;"]  &lt;= sr_paddr_dat["&amp;A2558&amp;"];"</f>
        <v xml:space="preserve">               sr_paddr_dat[218]  &lt;= sr_paddr_dat[218];</v>
      </c>
    </row>
    <row r="2567" spans="1:2" x14ac:dyDescent="0.3">
      <c r="B2567" t="s">
        <v>4</v>
      </c>
    </row>
    <row r="2568" spans="1:2" x14ac:dyDescent="0.3">
      <c r="B2568" t="s">
        <v>5</v>
      </c>
    </row>
    <row r="2570" spans="1:2" x14ac:dyDescent="0.3">
      <c r="A2570">
        <f>A2558+1</f>
        <v>219</v>
      </c>
      <c r="B2570" t="str">
        <f>"    // Page Address Resister"&amp;A2570</f>
        <v xml:space="preserve">    // Page Address Resister219</v>
      </c>
    </row>
    <row r="2571" spans="1:2" x14ac:dyDescent="0.3">
      <c r="A2571" t="str">
        <f>DEC2HEX(A2570)</f>
        <v>DB</v>
      </c>
      <c r="B2571" t="s">
        <v>0</v>
      </c>
    </row>
    <row r="2572" spans="1:2" x14ac:dyDescent="0.3">
      <c r="B2572" t="s">
        <v>1</v>
      </c>
    </row>
    <row r="2573" spans="1:2" x14ac:dyDescent="0.3">
      <c r="B2573" t="str">
        <f>"            sr_paddr_dat["&amp;A2570&amp;"]   &lt;= 24'h0;"</f>
        <v xml:space="preserve">            sr_paddr_dat[219]   &lt;= 24'h0;</v>
      </c>
    </row>
    <row r="2574" spans="1:2" x14ac:dyDescent="0.3">
      <c r="B2574" t="s">
        <v>2</v>
      </c>
    </row>
    <row r="2575" spans="1:2" x14ac:dyDescent="0.3">
      <c r="B2575" t="str">
        <f>"           if (PADDR_CNT == 7'd"&amp;A2570&amp;")"</f>
        <v xml:space="preserve">           if (PADDR_CNT == 7'd219)</v>
      </c>
    </row>
    <row r="2576" spans="1:2" x14ac:dyDescent="0.3">
      <c r="B2576" t="str">
        <f>"               sr_paddr_dat["&amp;A2570&amp;"]  &lt;= sr_page_paddr_buf;"</f>
        <v xml:space="preserve">               sr_paddr_dat[219]  &lt;= sr_page_paddr_buf;</v>
      </c>
    </row>
    <row r="2577" spans="1:2" x14ac:dyDescent="0.3">
      <c r="B2577" t="s">
        <v>3</v>
      </c>
    </row>
    <row r="2578" spans="1:2" x14ac:dyDescent="0.3">
      <c r="B2578" t="str">
        <f>"               sr_paddr_dat["&amp;A2570&amp;"]  &lt;= sr_paddr_dat["&amp;A2570&amp;"];"</f>
        <v xml:space="preserve">               sr_paddr_dat[219]  &lt;= sr_paddr_dat[219];</v>
      </c>
    </row>
    <row r="2579" spans="1:2" x14ac:dyDescent="0.3">
      <c r="B2579" t="s">
        <v>4</v>
      </c>
    </row>
    <row r="2580" spans="1:2" x14ac:dyDescent="0.3">
      <c r="B2580" t="s">
        <v>5</v>
      </c>
    </row>
    <row r="2582" spans="1:2" x14ac:dyDescent="0.3">
      <c r="A2582">
        <f>A2570+1</f>
        <v>220</v>
      </c>
      <c r="B2582" t="str">
        <f>"    // Page Address Resister"&amp;A2582</f>
        <v xml:space="preserve">    // Page Address Resister220</v>
      </c>
    </row>
    <row r="2583" spans="1:2" x14ac:dyDescent="0.3">
      <c r="A2583" t="str">
        <f>DEC2HEX(A2582)</f>
        <v>DC</v>
      </c>
      <c r="B2583" t="s">
        <v>0</v>
      </c>
    </row>
    <row r="2584" spans="1:2" x14ac:dyDescent="0.3">
      <c r="B2584" t="s">
        <v>1</v>
      </c>
    </row>
    <row r="2585" spans="1:2" x14ac:dyDescent="0.3">
      <c r="B2585" t="str">
        <f>"            sr_paddr_dat["&amp;A2582&amp;"]   &lt;= 24'h0;"</f>
        <v xml:space="preserve">            sr_paddr_dat[220]   &lt;= 24'h0;</v>
      </c>
    </row>
    <row r="2586" spans="1:2" x14ac:dyDescent="0.3">
      <c r="B2586" t="s">
        <v>2</v>
      </c>
    </row>
    <row r="2587" spans="1:2" x14ac:dyDescent="0.3">
      <c r="B2587" t="str">
        <f>"           if (PADDR_CNT == 7'd"&amp;A2582&amp;")"</f>
        <v xml:space="preserve">           if (PADDR_CNT == 7'd220)</v>
      </c>
    </row>
    <row r="2588" spans="1:2" x14ac:dyDescent="0.3">
      <c r="B2588" t="str">
        <f>"               sr_paddr_dat["&amp;A2582&amp;"]  &lt;= sr_page_paddr_buf;"</f>
        <v xml:space="preserve">               sr_paddr_dat[220]  &lt;= sr_page_paddr_buf;</v>
      </c>
    </row>
    <row r="2589" spans="1:2" x14ac:dyDescent="0.3">
      <c r="B2589" t="s">
        <v>3</v>
      </c>
    </row>
    <row r="2590" spans="1:2" x14ac:dyDescent="0.3">
      <c r="B2590" t="str">
        <f>"               sr_paddr_dat["&amp;A2582&amp;"]  &lt;= sr_paddr_dat["&amp;A2582&amp;"];"</f>
        <v xml:space="preserve">               sr_paddr_dat[220]  &lt;= sr_paddr_dat[220];</v>
      </c>
    </row>
    <row r="2591" spans="1:2" x14ac:dyDescent="0.3">
      <c r="B2591" t="s">
        <v>4</v>
      </c>
    </row>
    <row r="2592" spans="1:2" x14ac:dyDescent="0.3">
      <c r="B2592" t="s">
        <v>5</v>
      </c>
    </row>
    <row r="2594" spans="1:2" x14ac:dyDescent="0.3">
      <c r="A2594">
        <f>A2582+1</f>
        <v>221</v>
      </c>
      <c r="B2594" t="str">
        <f>"    // Page Address Resister"&amp;A2594</f>
        <v xml:space="preserve">    // Page Address Resister221</v>
      </c>
    </row>
    <row r="2595" spans="1:2" x14ac:dyDescent="0.3">
      <c r="A2595" t="str">
        <f>DEC2HEX(A2594)</f>
        <v>DD</v>
      </c>
      <c r="B2595" t="s">
        <v>0</v>
      </c>
    </row>
    <row r="2596" spans="1:2" x14ac:dyDescent="0.3">
      <c r="B2596" t="s">
        <v>1</v>
      </c>
    </row>
    <row r="2597" spans="1:2" x14ac:dyDescent="0.3">
      <c r="B2597" t="str">
        <f>"            sr_paddr_dat["&amp;A2594&amp;"]   &lt;= 24'h0;"</f>
        <v xml:space="preserve">            sr_paddr_dat[221]   &lt;= 24'h0;</v>
      </c>
    </row>
    <row r="2598" spans="1:2" x14ac:dyDescent="0.3">
      <c r="B2598" t="s">
        <v>2</v>
      </c>
    </row>
    <row r="2599" spans="1:2" x14ac:dyDescent="0.3">
      <c r="B2599" t="str">
        <f>"           if (PADDR_CNT == 7'd"&amp;A2594&amp;")"</f>
        <v xml:space="preserve">           if (PADDR_CNT == 7'd221)</v>
      </c>
    </row>
    <row r="2600" spans="1:2" x14ac:dyDescent="0.3">
      <c r="B2600" t="str">
        <f>"               sr_paddr_dat["&amp;A2594&amp;"]  &lt;= sr_page_paddr_buf;"</f>
        <v xml:space="preserve">               sr_paddr_dat[221]  &lt;= sr_page_paddr_buf;</v>
      </c>
    </row>
    <row r="2601" spans="1:2" x14ac:dyDescent="0.3">
      <c r="B2601" t="s">
        <v>3</v>
      </c>
    </row>
    <row r="2602" spans="1:2" x14ac:dyDescent="0.3">
      <c r="B2602" t="str">
        <f>"               sr_paddr_dat["&amp;A2594&amp;"]  &lt;= sr_paddr_dat["&amp;A2594&amp;"];"</f>
        <v xml:space="preserve">               sr_paddr_dat[221]  &lt;= sr_paddr_dat[221];</v>
      </c>
    </row>
    <row r="2603" spans="1:2" x14ac:dyDescent="0.3">
      <c r="B2603" t="s">
        <v>4</v>
      </c>
    </row>
    <row r="2604" spans="1:2" x14ac:dyDescent="0.3">
      <c r="B2604" t="s">
        <v>5</v>
      </c>
    </row>
    <row r="2606" spans="1:2" x14ac:dyDescent="0.3">
      <c r="A2606">
        <f>A2594+1</f>
        <v>222</v>
      </c>
      <c r="B2606" t="str">
        <f>"    // Page Address Resister"&amp;A2606</f>
        <v xml:space="preserve">    // Page Address Resister222</v>
      </c>
    </row>
    <row r="2607" spans="1:2" x14ac:dyDescent="0.3">
      <c r="A2607" t="str">
        <f>DEC2HEX(A2606)</f>
        <v>DE</v>
      </c>
      <c r="B2607" t="s">
        <v>0</v>
      </c>
    </row>
    <row r="2608" spans="1:2" x14ac:dyDescent="0.3">
      <c r="B2608" t="s">
        <v>1</v>
      </c>
    </row>
    <row r="2609" spans="1:2" x14ac:dyDescent="0.3">
      <c r="B2609" t="str">
        <f>"            sr_paddr_dat["&amp;A2606&amp;"]   &lt;= 24'h0;"</f>
        <v xml:space="preserve">            sr_paddr_dat[222]   &lt;= 24'h0;</v>
      </c>
    </row>
    <row r="2610" spans="1:2" x14ac:dyDescent="0.3">
      <c r="B2610" t="s">
        <v>2</v>
      </c>
    </row>
    <row r="2611" spans="1:2" x14ac:dyDescent="0.3">
      <c r="B2611" t="str">
        <f>"           if (PADDR_CNT == 7'd"&amp;A2606&amp;")"</f>
        <v xml:space="preserve">           if (PADDR_CNT == 7'd222)</v>
      </c>
    </row>
    <row r="2612" spans="1:2" x14ac:dyDescent="0.3">
      <c r="B2612" t="str">
        <f>"               sr_paddr_dat["&amp;A2606&amp;"]  &lt;= sr_page_paddr_buf;"</f>
        <v xml:space="preserve">               sr_paddr_dat[222]  &lt;= sr_page_paddr_buf;</v>
      </c>
    </row>
    <row r="2613" spans="1:2" x14ac:dyDescent="0.3">
      <c r="B2613" t="s">
        <v>3</v>
      </c>
    </row>
    <row r="2614" spans="1:2" x14ac:dyDescent="0.3">
      <c r="B2614" t="str">
        <f>"               sr_paddr_dat["&amp;A2606&amp;"]  &lt;= sr_paddr_dat["&amp;A2606&amp;"];"</f>
        <v xml:space="preserve">               sr_paddr_dat[222]  &lt;= sr_paddr_dat[222];</v>
      </c>
    </row>
    <row r="2615" spans="1:2" x14ac:dyDescent="0.3">
      <c r="B2615" t="s">
        <v>4</v>
      </c>
    </row>
    <row r="2616" spans="1:2" x14ac:dyDescent="0.3">
      <c r="B2616" t="s">
        <v>5</v>
      </c>
    </row>
    <row r="2618" spans="1:2" x14ac:dyDescent="0.3">
      <c r="A2618">
        <f>A2606+1</f>
        <v>223</v>
      </c>
      <c r="B2618" t="str">
        <f>"    // Page Address Resister"&amp;A2618</f>
        <v xml:space="preserve">    // Page Address Resister223</v>
      </c>
    </row>
    <row r="2619" spans="1:2" x14ac:dyDescent="0.3">
      <c r="A2619" t="str">
        <f>DEC2HEX(A2618)</f>
        <v>DF</v>
      </c>
      <c r="B2619" t="s">
        <v>0</v>
      </c>
    </row>
    <row r="2620" spans="1:2" x14ac:dyDescent="0.3">
      <c r="B2620" t="s">
        <v>1</v>
      </c>
    </row>
    <row r="2621" spans="1:2" x14ac:dyDescent="0.3">
      <c r="B2621" t="str">
        <f>"            sr_paddr_dat["&amp;A2618&amp;"]   &lt;= 24'h0;"</f>
        <v xml:space="preserve">            sr_paddr_dat[223]   &lt;= 24'h0;</v>
      </c>
    </row>
    <row r="2622" spans="1:2" x14ac:dyDescent="0.3">
      <c r="B2622" t="s">
        <v>2</v>
      </c>
    </row>
    <row r="2623" spans="1:2" x14ac:dyDescent="0.3">
      <c r="B2623" t="str">
        <f>"           if (PADDR_CNT == 7'd"&amp;A2618&amp;")"</f>
        <v xml:space="preserve">           if (PADDR_CNT == 7'd223)</v>
      </c>
    </row>
    <row r="2624" spans="1:2" x14ac:dyDescent="0.3">
      <c r="B2624" t="str">
        <f>"               sr_paddr_dat["&amp;A2618&amp;"]  &lt;= sr_page_paddr_buf;"</f>
        <v xml:space="preserve">               sr_paddr_dat[223]  &lt;= sr_page_paddr_buf;</v>
      </c>
    </row>
    <row r="2625" spans="1:2" x14ac:dyDescent="0.3">
      <c r="B2625" t="s">
        <v>3</v>
      </c>
    </row>
    <row r="2626" spans="1:2" x14ac:dyDescent="0.3">
      <c r="B2626" t="str">
        <f>"               sr_paddr_dat["&amp;A2618&amp;"]  &lt;= sr_paddr_dat["&amp;A2618&amp;"];"</f>
        <v xml:space="preserve">               sr_paddr_dat[223]  &lt;= sr_paddr_dat[223];</v>
      </c>
    </row>
    <row r="2627" spans="1:2" x14ac:dyDescent="0.3">
      <c r="B2627" t="s">
        <v>4</v>
      </c>
    </row>
    <row r="2628" spans="1:2" x14ac:dyDescent="0.3">
      <c r="B2628" t="s">
        <v>5</v>
      </c>
    </row>
    <row r="2630" spans="1:2" x14ac:dyDescent="0.3">
      <c r="A2630">
        <f>A2618+1</f>
        <v>224</v>
      </c>
      <c r="B2630" t="str">
        <f>"    // Page Address Resister"&amp;A2630</f>
        <v xml:space="preserve">    // Page Address Resister224</v>
      </c>
    </row>
    <row r="2631" spans="1:2" x14ac:dyDescent="0.3">
      <c r="A2631" t="str">
        <f>DEC2HEX(A2630)</f>
        <v>E0</v>
      </c>
      <c r="B2631" t="s">
        <v>0</v>
      </c>
    </row>
    <row r="2632" spans="1:2" x14ac:dyDescent="0.3">
      <c r="B2632" t="s">
        <v>1</v>
      </c>
    </row>
    <row r="2633" spans="1:2" x14ac:dyDescent="0.3">
      <c r="B2633" t="str">
        <f>"            sr_paddr_dat["&amp;A2630&amp;"]   &lt;= 24'h0;"</f>
        <v xml:space="preserve">            sr_paddr_dat[224]   &lt;= 24'h0;</v>
      </c>
    </row>
    <row r="2634" spans="1:2" x14ac:dyDescent="0.3">
      <c r="B2634" t="s">
        <v>2</v>
      </c>
    </row>
    <row r="2635" spans="1:2" x14ac:dyDescent="0.3">
      <c r="B2635" t="str">
        <f>"           if (PADDR_CNT == 7'd"&amp;A2630&amp;")"</f>
        <v xml:space="preserve">           if (PADDR_CNT == 7'd224)</v>
      </c>
    </row>
    <row r="2636" spans="1:2" x14ac:dyDescent="0.3">
      <c r="B2636" t="str">
        <f>"               sr_paddr_dat["&amp;A2630&amp;"]  &lt;= sr_page_paddr_buf;"</f>
        <v xml:space="preserve">               sr_paddr_dat[224]  &lt;= sr_page_paddr_buf;</v>
      </c>
    </row>
    <row r="2637" spans="1:2" x14ac:dyDescent="0.3">
      <c r="B2637" t="s">
        <v>3</v>
      </c>
    </row>
    <row r="2638" spans="1:2" x14ac:dyDescent="0.3">
      <c r="B2638" t="str">
        <f>"               sr_paddr_dat["&amp;A2630&amp;"]  &lt;= sr_paddr_dat["&amp;A2630&amp;"];"</f>
        <v xml:space="preserve">               sr_paddr_dat[224]  &lt;= sr_paddr_dat[224];</v>
      </c>
    </row>
    <row r="2639" spans="1:2" x14ac:dyDescent="0.3">
      <c r="B2639" t="s">
        <v>4</v>
      </c>
    </row>
    <row r="2640" spans="1:2" x14ac:dyDescent="0.3">
      <c r="B2640" t="s">
        <v>5</v>
      </c>
    </row>
    <row r="2642" spans="1:2" x14ac:dyDescent="0.3">
      <c r="A2642">
        <f>A2630+1</f>
        <v>225</v>
      </c>
      <c r="B2642" t="str">
        <f>"    // Page Address Resister"&amp;A2642</f>
        <v xml:space="preserve">    // Page Address Resister225</v>
      </c>
    </row>
    <row r="2643" spans="1:2" x14ac:dyDescent="0.3">
      <c r="A2643" t="str">
        <f>DEC2HEX(A2642)</f>
        <v>E1</v>
      </c>
      <c r="B2643" t="s">
        <v>0</v>
      </c>
    </row>
    <row r="2644" spans="1:2" x14ac:dyDescent="0.3">
      <c r="B2644" t="s">
        <v>1</v>
      </c>
    </row>
    <row r="2645" spans="1:2" x14ac:dyDescent="0.3">
      <c r="B2645" t="str">
        <f>"            sr_paddr_dat["&amp;A2642&amp;"]   &lt;= 24'h0;"</f>
        <v xml:space="preserve">            sr_paddr_dat[225]   &lt;= 24'h0;</v>
      </c>
    </row>
    <row r="2646" spans="1:2" x14ac:dyDescent="0.3">
      <c r="B2646" t="s">
        <v>2</v>
      </c>
    </row>
    <row r="2647" spans="1:2" x14ac:dyDescent="0.3">
      <c r="B2647" t="str">
        <f>"           if (PADDR_CNT == 7'd"&amp;A2642&amp;")"</f>
        <v xml:space="preserve">           if (PADDR_CNT == 7'd225)</v>
      </c>
    </row>
    <row r="2648" spans="1:2" x14ac:dyDescent="0.3">
      <c r="B2648" t="str">
        <f>"               sr_paddr_dat["&amp;A2642&amp;"]  &lt;= sr_page_paddr_buf;"</f>
        <v xml:space="preserve">               sr_paddr_dat[225]  &lt;= sr_page_paddr_buf;</v>
      </c>
    </row>
    <row r="2649" spans="1:2" x14ac:dyDescent="0.3">
      <c r="B2649" t="s">
        <v>3</v>
      </c>
    </row>
    <row r="2650" spans="1:2" x14ac:dyDescent="0.3">
      <c r="B2650" t="str">
        <f>"               sr_paddr_dat["&amp;A2642&amp;"]  &lt;= sr_paddr_dat["&amp;A2642&amp;"];"</f>
        <v xml:space="preserve">               sr_paddr_dat[225]  &lt;= sr_paddr_dat[225];</v>
      </c>
    </row>
    <row r="2651" spans="1:2" x14ac:dyDescent="0.3">
      <c r="B2651" t="s">
        <v>4</v>
      </c>
    </row>
    <row r="2652" spans="1:2" x14ac:dyDescent="0.3">
      <c r="B2652" t="s">
        <v>5</v>
      </c>
    </row>
    <row r="2654" spans="1:2" x14ac:dyDescent="0.3">
      <c r="A2654">
        <f>A2642+1</f>
        <v>226</v>
      </c>
      <c r="B2654" t="str">
        <f>"    // Page Address Resister"&amp;A2654</f>
        <v xml:space="preserve">    // Page Address Resister226</v>
      </c>
    </row>
    <row r="2655" spans="1:2" x14ac:dyDescent="0.3">
      <c r="A2655" t="str">
        <f>DEC2HEX(A2654)</f>
        <v>E2</v>
      </c>
      <c r="B2655" t="s">
        <v>0</v>
      </c>
    </row>
    <row r="2656" spans="1:2" x14ac:dyDescent="0.3">
      <c r="B2656" t="s">
        <v>1</v>
      </c>
    </row>
    <row r="2657" spans="1:2" x14ac:dyDescent="0.3">
      <c r="B2657" t="str">
        <f>"            sr_paddr_dat["&amp;A2654&amp;"]   &lt;= 24'h0;"</f>
        <v xml:space="preserve">            sr_paddr_dat[226]   &lt;= 24'h0;</v>
      </c>
    </row>
    <row r="2658" spans="1:2" x14ac:dyDescent="0.3">
      <c r="B2658" t="s">
        <v>2</v>
      </c>
    </row>
    <row r="2659" spans="1:2" x14ac:dyDescent="0.3">
      <c r="B2659" t="str">
        <f>"           if (PADDR_CNT == 7'd"&amp;A2654&amp;")"</f>
        <v xml:space="preserve">           if (PADDR_CNT == 7'd226)</v>
      </c>
    </row>
    <row r="2660" spans="1:2" x14ac:dyDescent="0.3">
      <c r="B2660" t="str">
        <f>"               sr_paddr_dat["&amp;A2654&amp;"]  &lt;= sr_page_paddr_buf;"</f>
        <v xml:space="preserve">               sr_paddr_dat[226]  &lt;= sr_page_paddr_buf;</v>
      </c>
    </row>
    <row r="2661" spans="1:2" x14ac:dyDescent="0.3">
      <c r="B2661" t="s">
        <v>3</v>
      </c>
    </row>
    <row r="2662" spans="1:2" x14ac:dyDescent="0.3">
      <c r="B2662" t="str">
        <f>"               sr_paddr_dat["&amp;A2654&amp;"]  &lt;= sr_paddr_dat["&amp;A2654&amp;"];"</f>
        <v xml:space="preserve">               sr_paddr_dat[226]  &lt;= sr_paddr_dat[226];</v>
      </c>
    </row>
    <row r="2663" spans="1:2" x14ac:dyDescent="0.3">
      <c r="B2663" t="s">
        <v>4</v>
      </c>
    </row>
    <row r="2664" spans="1:2" x14ac:dyDescent="0.3">
      <c r="B2664" t="s">
        <v>5</v>
      </c>
    </row>
    <row r="2666" spans="1:2" x14ac:dyDescent="0.3">
      <c r="A2666">
        <f>A2654+1</f>
        <v>227</v>
      </c>
      <c r="B2666" t="str">
        <f>"    // Page Address Resister"&amp;A2666</f>
        <v xml:space="preserve">    // Page Address Resister227</v>
      </c>
    </row>
    <row r="2667" spans="1:2" x14ac:dyDescent="0.3">
      <c r="A2667" t="str">
        <f>DEC2HEX(A2666)</f>
        <v>E3</v>
      </c>
      <c r="B2667" t="s">
        <v>0</v>
      </c>
    </row>
    <row r="2668" spans="1:2" x14ac:dyDescent="0.3">
      <c r="B2668" t="s">
        <v>1</v>
      </c>
    </row>
    <row r="2669" spans="1:2" x14ac:dyDescent="0.3">
      <c r="B2669" t="str">
        <f>"            sr_paddr_dat["&amp;A2666&amp;"]   &lt;= 24'h0;"</f>
        <v xml:space="preserve">            sr_paddr_dat[227]   &lt;= 24'h0;</v>
      </c>
    </row>
    <row r="2670" spans="1:2" x14ac:dyDescent="0.3">
      <c r="B2670" t="s">
        <v>2</v>
      </c>
    </row>
    <row r="2671" spans="1:2" x14ac:dyDescent="0.3">
      <c r="B2671" t="str">
        <f>"           if (PADDR_CNT == 7'd"&amp;A2666&amp;")"</f>
        <v xml:space="preserve">           if (PADDR_CNT == 7'd227)</v>
      </c>
    </row>
    <row r="2672" spans="1:2" x14ac:dyDescent="0.3">
      <c r="B2672" t="str">
        <f>"               sr_paddr_dat["&amp;A2666&amp;"]  &lt;= sr_page_paddr_buf;"</f>
        <v xml:space="preserve">               sr_paddr_dat[227]  &lt;= sr_page_paddr_buf;</v>
      </c>
    </row>
    <row r="2673" spans="1:2" x14ac:dyDescent="0.3">
      <c r="B2673" t="s">
        <v>3</v>
      </c>
    </row>
    <row r="2674" spans="1:2" x14ac:dyDescent="0.3">
      <c r="B2674" t="str">
        <f>"               sr_paddr_dat["&amp;A2666&amp;"]  &lt;= sr_paddr_dat["&amp;A2666&amp;"];"</f>
        <v xml:space="preserve">               sr_paddr_dat[227]  &lt;= sr_paddr_dat[227];</v>
      </c>
    </row>
    <row r="2675" spans="1:2" x14ac:dyDescent="0.3">
      <c r="B2675" t="s">
        <v>4</v>
      </c>
    </row>
    <row r="2676" spans="1:2" x14ac:dyDescent="0.3">
      <c r="B2676" t="s">
        <v>5</v>
      </c>
    </row>
    <row r="2678" spans="1:2" x14ac:dyDescent="0.3">
      <c r="A2678">
        <f>A2666+1</f>
        <v>228</v>
      </c>
      <c r="B2678" t="str">
        <f>"    // Page Address Resister"&amp;A2678</f>
        <v xml:space="preserve">    // Page Address Resister228</v>
      </c>
    </row>
    <row r="2679" spans="1:2" x14ac:dyDescent="0.3">
      <c r="A2679" t="str">
        <f>DEC2HEX(A2678)</f>
        <v>E4</v>
      </c>
      <c r="B2679" t="s">
        <v>0</v>
      </c>
    </row>
    <row r="2680" spans="1:2" x14ac:dyDescent="0.3">
      <c r="B2680" t="s">
        <v>1</v>
      </c>
    </row>
    <row r="2681" spans="1:2" x14ac:dyDescent="0.3">
      <c r="B2681" t="str">
        <f>"            sr_paddr_dat["&amp;A2678&amp;"]   &lt;= 24'h0;"</f>
        <v xml:space="preserve">            sr_paddr_dat[228]   &lt;= 24'h0;</v>
      </c>
    </row>
    <row r="2682" spans="1:2" x14ac:dyDescent="0.3">
      <c r="B2682" t="s">
        <v>2</v>
      </c>
    </row>
    <row r="2683" spans="1:2" x14ac:dyDescent="0.3">
      <c r="B2683" t="str">
        <f>"           if (PADDR_CNT == 7'd"&amp;A2678&amp;")"</f>
        <v xml:space="preserve">           if (PADDR_CNT == 7'd228)</v>
      </c>
    </row>
    <row r="2684" spans="1:2" x14ac:dyDescent="0.3">
      <c r="B2684" t="str">
        <f>"               sr_paddr_dat["&amp;A2678&amp;"]  &lt;= sr_page_paddr_buf;"</f>
        <v xml:space="preserve">               sr_paddr_dat[228]  &lt;= sr_page_paddr_buf;</v>
      </c>
    </row>
    <row r="2685" spans="1:2" x14ac:dyDescent="0.3">
      <c r="B2685" t="s">
        <v>3</v>
      </c>
    </row>
    <row r="2686" spans="1:2" x14ac:dyDescent="0.3">
      <c r="B2686" t="str">
        <f>"               sr_paddr_dat["&amp;A2678&amp;"]  &lt;= sr_paddr_dat["&amp;A2678&amp;"];"</f>
        <v xml:space="preserve">               sr_paddr_dat[228]  &lt;= sr_paddr_dat[228];</v>
      </c>
    </row>
    <row r="2687" spans="1:2" x14ac:dyDescent="0.3">
      <c r="B2687" t="s">
        <v>4</v>
      </c>
    </row>
    <row r="2688" spans="1:2" x14ac:dyDescent="0.3">
      <c r="B2688" t="s">
        <v>5</v>
      </c>
    </row>
    <row r="2690" spans="1:2" x14ac:dyDescent="0.3">
      <c r="A2690">
        <f>A2678+1</f>
        <v>229</v>
      </c>
      <c r="B2690" t="str">
        <f>"    // Page Address Resister"&amp;A2690</f>
        <v xml:space="preserve">    // Page Address Resister229</v>
      </c>
    </row>
    <row r="2691" spans="1:2" x14ac:dyDescent="0.3">
      <c r="A2691" t="str">
        <f>DEC2HEX(A2690)</f>
        <v>E5</v>
      </c>
      <c r="B2691" t="s">
        <v>0</v>
      </c>
    </row>
    <row r="2692" spans="1:2" x14ac:dyDescent="0.3">
      <c r="B2692" t="s">
        <v>1</v>
      </c>
    </row>
    <row r="2693" spans="1:2" x14ac:dyDescent="0.3">
      <c r="B2693" t="str">
        <f>"            sr_paddr_dat["&amp;A2690&amp;"]   &lt;= 24'h0;"</f>
        <v xml:space="preserve">            sr_paddr_dat[229]   &lt;= 24'h0;</v>
      </c>
    </row>
    <row r="2694" spans="1:2" x14ac:dyDescent="0.3">
      <c r="B2694" t="s">
        <v>2</v>
      </c>
    </row>
    <row r="2695" spans="1:2" x14ac:dyDescent="0.3">
      <c r="B2695" t="str">
        <f>"           if (PADDR_CNT == 7'd"&amp;A2690&amp;")"</f>
        <v xml:space="preserve">           if (PADDR_CNT == 7'd229)</v>
      </c>
    </row>
    <row r="2696" spans="1:2" x14ac:dyDescent="0.3">
      <c r="B2696" t="str">
        <f>"               sr_paddr_dat["&amp;A2690&amp;"]  &lt;= sr_page_paddr_buf;"</f>
        <v xml:space="preserve">               sr_paddr_dat[229]  &lt;= sr_page_paddr_buf;</v>
      </c>
    </row>
    <row r="2697" spans="1:2" x14ac:dyDescent="0.3">
      <c r="B2697" t="s">
        <v>3</v>
      </c>
    </row>
    <row r="2698" spans="1:2" x14ac:dyDescent="0.3">
      <c r="B2698" t="str">
        <f>"               sr_paddr_dat["&amp;A2690&amp;"]  &lt;= sr_paddr_dat["&amp;A2690&amp;"];"</f>
        <v xml:space="preserve">               sr_paddr_dat[229]  &lt;= sr_paddr_dat[229];</v>
      </c>
    </row>
    <row r="2699" spans="1:2" x14ac:dyDescent="0.3">
      <c r="B2699" t="s">
        <v>4</v>
      </c>
    </row>
    <row r="2700" spans="1:2" x14ac:dyDescent="0.3">
      <c r="B2700" t="s">
        <v>5</v>
      </c>
    </row>
    <row r="2702" spans="1:2" x14ac:dyDescent="0.3">
      <c r="A2702">
        <f>A2690+1</f>
        <v>230</v>
      </c>
      <c r="B2702" t="str">
        <f>"    // Page Address Resister"&amp;A2702</f>
        <v xml:space="preserve">    // Page Address Resister230</v>
      </c>
    </row>
    <row r="2703" spans="1:2" x14ac:dyDescent="0.3">
      <c r="A2703" t="str">
        <f>DEC2HEX(A2702)</f>
        <v>E6</v>
      </c>
      <c r="B2703" t="s">
        <v>0</v>
      </c>
    </row>
    <row r="2704" spans="1:2" x14ac:dyDescent="0.3">
      <c r="B2704" t="s">
        <v>1</v>
      </c>
    </row>
    <row r="2705" spans="1:2" x14ac:dyDescent="0.3">
      <c r="B2705" t="str">
        <f>"            sr_paddr_dat["&amp;A2702&amp;"]   &lt;= 24'h0;"</f>
        <v xml:space="preserve">            sr_paddr_dat[230]   &lt;= 24'h0;</v>
      </c>
    </row>
    <row r="2706" spans="1:2" x14ac:dyDescent="0.3">
      <c r="B2706" t="s">
        <v>2</v>
      </c>
    </row>
    <row r="2707" spans="1:2" x14ac:dyDescent="0.3">
      <c r="B2707" t="str">
        <f>"           if (PADDR_CNT == 7'd"&amp;A2702&amp;")"</f>
        <v xml:space="preserve">           if (PADDR_CNT == 7'd230)</v>
      </c>
    </row>
    <row r="2708" spans="1:2" x14ac:dyDescent="0.3">
      <c r="B2708" t="str">
        <f>"               sr_paddr_dat["&amp;A2702&amp;"]  &lt;= sr_page_paddr_buf;"</f>
        <v xml:space="preserve">               sr_paddr_dat[230]  &lt;= sr_page_paddr_buf;</v>
      </c>
    </row>
    <row r="2709" spans="1:2" x14ac:dyDescent="0.3">
      <c r="B2709" t="s">
        <v>3</v>
      </c>
    </row>
    <row r="2710" spans="1:2" x14ac:dyDescent="0.3">
      <c r="B2710" t="str">
        <f>"               sr_paddr_dat["&amp;A2702&amp;"]  &lt;= sr_paddr_dat["&amp;A2702&amp;"];"</f>
        <v xml:space="preserve">               sr_paddr_dat[230]  &lt;= sr_paddr_dat[230];</v>
      </c>
    </row>
    <row r="2711" spans="1:2" x14ac:dyDescent="0.3">
      <c r="B2711" t="s">
        <v>4</v>
      </c>
    </row>
    <row r="2712" spans="1:2" x14ac:dyDescent="0.3">
      <c r="B2712" t="s">
        <v>5</v>
      </c>
    </row>
    <row r="2714" spans="1:2" x14ac:dyDescent="0.3">
      <c r="A2714">
        <f>A2702+1</f>
        <v>231</v>
      </c>
      <c r="B2714" t="str">
        <f>"    // Page Address Resister"&amp;A2714</f>
        <v xml:space="preserve">    // Page Address Resister231</v>
      </c>
    </row>
    <row r="2715" spans="1:2" x14ac:dyDescent="0.3">
      <c r="A2715" t="str">
        <f>DEC2HEX(A2714)</f>
        <v>E7</v>
      </c>
      <c r="B2715" t="s">
        <v>0</v>
      </c>
    </row>
    <row r="2716" spans="1:2" x14ac:dyDescent="0.3">
      <c r="B2716" t="s">
        <v>1</v>
      </c>
    </row>
    <row r="2717" spans="1:2" x14ac:dyDescent="0.3">
      <c r="B2717" t="str">
        <f>"            sr_paddr_dat["&amp;A2714&amp;"]   &lt;= 24'h0;"</f>
        <v xml:space="preserve">            sr_paddr_dat[231]   &lt;= 24'h0;</v>
      </c>
    </row>
    <row r="2718" spans="1:2" x14ac:dyDescent="0.3">
      <c r="B2718" t="s">
        <v>2</v>
      </c>
    </row>
    <row r="2719" spans="1:2" x14ac:dyDescent="0.3">
      <c r="B2719" t="str">
        <f>"           if (PADDR_CNT == 7'd"&amp;A2714&amp;")"</f>
        <v xml:space="preserve">           if (PADDR_CNT == 7'd231)</v>
      </c>
    </row>
    <row r="2720" spans="1:2" x14ac:dyDescent="0.3">
      <c r="B2720" t="str">
        <f>"               sr_paddr_dat["&amp;A2714&amp;"]  &lt;= sr_page_paddr_buf;"</f>
        <v xml:space="preserve">               sr_paddr_dat[231]  &lt;= sr_page_paddr_buf;</v>
      </c>
    </row>
    <row r="2721" spans="1:2" x14ac:dyDescent="0.3">
      <c r="B2721" t="s">
        <v>3</v>
      </c>
    </row>
    <row r="2722" spans="1:2" x14ac:dyDescent="0.3">
      <c r="B2722" t="str">
        <f>"               sr_paddr_dat["&amp;A2714&amp;"]  &lt;= sr_paddr_dat["&amp;A2714&amp;"];"</f>
        <v xml:space="preserve">               sr_paddr_dat[231]  &lt;= sr_paddr_dat[231];</v>
      </c>
    </row>
    <row r="2723" spans="1:2" x14ac:dyDescent="0.3">
      <c r="B2723" t="s">
        <v>4</v>
      </c>
    </row>
    <row r="2724" spans="1:2" x14ac:dyDescent="0.3">
      <c r="B2724" t="s">
        <v>5</v>
      </c>
    </row>
    <row r="2726" spans="1:2" x14ac:dyDescent="0.3">
      <c r="A2726">
        <f>A2714+1</f>
        <v>232</v>
      </c>
      <c r="B2726" t="str">
        <f>"    // Page Address Resister"&amp;A2726</f>
        <v xml:space="preserve">    // Page Address Resister232</v>
      </c>
    </row>
    <row r="2727" spans="1:2" x14ac:dyDescent="0.3">
      <c r="A2727" t="str">
        <f>DEC2HEX(A2726)</f>
        <v>E8</v>
      </c>
      <c r="B2727" t="s">
        <v>0</v>
      </c>
    </row>
    <row r="2728" spans="1:2" x14ac:dyDescent="0.3">
      <c r="B2728" t="s">
        <v>1</v>
      </c>
    </row>
    <row r="2729" spans="1:2" x14ac:dyDescent="0.3">
      <c r="B2729" t="str">
        <f>"            sr_paddr_dat["&amp;A2726&amp;"]   &lt;= 24'h0;"</f>
        <v xml:space="preserve">            sr_paddr_dat[232]   &lt;= 24'h0;</v>
      </c>
    </row>
    <row r="2730" spans="1:2" x14ac:dyDescent="0.3">
      <c r="B2730" t="s">
        <v>2</v>
      </c>
    </row>
    <row r="2731" spans="1:2" x14ac:dyDescent="0.3">
      <c r="B2731" t="str">
        <f>"           if (PADDR_CNT == 7'd"&amp;A2726&amp;")"</f>
        <v xml:space="preserve">           if (PADDR_CNT == 7'd232)</v>
      </c>
    </row>
    <row r="2732" spans="1:2" x14ac:dyDescent="0.3">
      <c r="B2732" t="str">
        <f>"               sr_paddr_dat["&amp;A2726&amp;"]  &lt;= sr_page_paddr_buf;"</f>
        <v xml:space="preserve">               sr_paddr_dat[232]  &lt;= sr_page_paddr_buf;</v>
      </c>
    </row>
    <row r="2733" spans="1:2" x14ac:dyDescent="0.3">
      <c r="B2733" t="s">
        <v>3</v>
      </c>
    </row>
    <row r="2734" spans="1:2" x14ac:dyDescent="0.3">
      <c r="B2734" t="str">
        <f>"               sr_paddr_dat["&amp;A2726&amp;"]  &lt;= sr_paddr_dat["&amp;A2726&amp;"];"</f>
        <v xml:space="preserve">               sr_paddr_dat[232]  &lt;= sr_paddr_dat[232];</v>
      </c>
    </row>
    <row r="2735" spans="1:2" x14ac:dyDescent="0.3">
      <c r="B2735" t="s">
        <v>4</v>
      </c>
    </row>
    <row r="2736" spans="1:2" x14ac:dyDescent="0.3">
      <c r="B2736" t="s">
        <v>5</v>
      </c>
    </row>
    <row r="2738" spans="1:2" x14ac:dyDescent="0.3">
      <c r="A2738">
        <f>A2726+1</f>
        <v>233</v>
      </c>
      <c r="B2738" t="str">
        <f>"    // Page Address Resister"&amp;A2738</f>
        <v xml:space="preserve">    // Page Address Resister233</v>
      </c>
    </row>
    <row r="2739" spans="1:2" x14ac:dyDescent="0.3">
      <c r="A2739" t="str">
        <f>DEC2HEX(A2738)</f>
        <v>E9</v>
      </c>
      <c r="B2739" t="s">
        <v>0</v>
      </c>
    </row>
    <row r="2740" spans="1:2" x14ac:dyDescent="0.3">
      <c r="B2740" t="s">
        <v>1</v>
      </c>
    </row>
    <row r="2741" spans="1:2" x14ac:dyDescent="0.3">
      <c r="B2741" t="str">
        <f>"            sr_paddr_dat["&amp;A2738&amp;"]   &lt;= 24'h0;"</f>
        <v xml:space="preserve">            sr_paddr_dat[233]   &lt;= 24'h0;</v>
      </c>
    </row>
    <row r="2742" spans="1:2" x14ac:dyDescent="0.3">
      <c r="B2742" t="s">
        <v>2</v>
      </c>
    </row>
    <row r="2743" spans="1:2" x14ac:dyDescent="0.3">
      <c r="B2743" t="str">
        <f>"           if (PADDR_CNT == 7'd"&amp;A2738&amp;")"</f>
        <v xml:space="preserve">           if (PADDR_CNT == 7'd233)</v>
      </c>
    </row>
    <row r="2744" spans="1:2" x14ac:dyDescent="0.3">
      <c r="B2744" t="str">
        <f>"               sr_paddr_dat["&amp;A2738&amp;"]  &lt;= sr_page_paddr_buf;"</f>
        <v xml:space="preserve">               sr_paddr_dat[233]  &lt;= sr_page_paddr_buf;</v>
      </c>
    </row>
    <row r="2745" spans="1:2" x14ac:dyDescent="0.3">
      <c r="B2745" t="s">
        <v>3</v>
      </c>
    </row>
    <row r="2746" spans="1:2" x14ac:dyDescent="0.3">
      <c r="B2746" t="str">
        <f>"               sr_paddr_dat["&amp;A2738&amp;"]  &lt;= sr_paddr_dat["&amp;A2738&amp;"];"</f>
        <v xml:space="preserve">               sr_paddr_dat[233]  &lt;= sr_paddr_dat[233];</v>
      </c>
    </row>
    <row r="2747" spans="1:2" x14ac:dyDescent="0.3">
      <c r="B2747" t="s">
        <v>4</v>
      </c>
    </row>
    <row r="2748" spans="1:2" x14ac:dyDescent="0.3">
      <c r="B2748" t="s">
        <v>5</v>
      </c>
    </row>
    <row r="2750" spans="1:2" x14ac:dyDescent="0.3">
      <c r="A2750">
        <f>A2738+1</f>
        <v>234</v>
      </c>
      <c r="B2750" t="str">
        <f>"    // Page Address Resister"&amp;A2750</f>
        <v xml:space="preserve">    // Page Address Resister234</v>
      </c>
    </row>
    <row r="2751" spans="1:2" x14ac:dyDescent="0.3">
      <c r="A2751" t="str">
        <f>DEC2HEX(A2750)</f>
        <v>EA</v>
      </c>
      <c r="B2751" t="s">
        <v>0</v>
      </c>
    </row>
    <row r="2752" spans="1:2" x14ac:dyDescent="0.3">
      <c r="B2752" t="s">
        <v>1</v>
      </c>
    </row>
    <row r="2753" spans="1:2" x14ac:dyDescent="0.3">
      <c r="B2753" t="str">
        <f>"            sr_paddr_dat["&amp;A2750&amp;"]   &lt;= 24'h0;"</f>
        <v xml:space="preserve">            sr_paddr_dat[234]   &lt;= 24'h0;</v>
      </c>
    </row>
    <row r="2754" spans="1:2" x14ac:dyDescent="0.3">
      <c r="B2754" t="s">
        <v>2</v>
      </c>
    </row>
    <row r="2755" spans="1:2" x14ac:dyDescent="0.3">
      <c r="B2755" t="str">
        <f>"           if (PADDR_CNT == 7'd"&amp;A2750&amp;")"</f>
        <v xml:space="preserve">           if (PADDR_CNT == 7'd234)</v>
      </c>
    </row>
    <row r="2756" spans="1:2" x14ac:dyDescent="0.3">
      <c r="B2756" t="str">
        <f>"               sr_paddr_dat["&amp;A2750&amp;"]  &lt;= sr_page_paddr_buf;"</f>
        <v xml:space="preserve">               sr_paddr_dat[234]  &lt;= sr_page_paddr_buf;</v>
      </c>
    </row>
    <row r="2757" spans="1:2" x14ac:dyDescent="0.3">
      <c r="B2757" t="s">
        <v>3</v>
      </c>
    </row>
    <row r="2758" spans="1:2" x14ac:dyDescent="0.3">
      <c r="B2758" t="str">
        <f>"               sr_paddr_dat["&amp;A2750&amp;"]  &lt;= sr_paddr_dat["&amp;A2750&amp;"];"</f>
        <v xml:space="preserve">               sr_paddr_dat[234]  &lt;= sr_paddr_dat[234];</v>
      </c>
    </row>
    <row r="2759" spans="1:2" x14ac:dyDescent="0.3">
      <c r="B2759" t="s">
        <v>4</v>
      </c>
    </row>
    <row r="2760" spans="1:2" x14ac:dyDescent="0.3">
      <c r="B2760" t="s">
        <v>5</v>
      </c>
    </row>
    <row r="2762" spans="1:2" x14ac:dyDescent="0.3">
      <c r="A2762">
        <f>A2750+1</f>
        <v>235</v>
      </c>
      <c r="B2762" t="str">
        <f>"    // Page Address Resister"&amp;A2762</f>
        <v xml:space="preserve">    // Page Address Resister235</v>
      </c>
    </row>
    <row r="2763" spans="1:2" x14ac:dyDescent="0.3">
      <c r="A2763" t="str">
        <f>DEC2HEX(A2762)</f>
        <v>EB</v>
      </c>
      <c r="B2763" t="s">
        <v>0</v>
      </c>
    </row>
    <row r="2764" spans="1:2" x14ac:dyDescent="0.3">
      <c r="B2764" t="s">
        <v>1</v>
      </c>
    </row>
    <row r="2765" spans="1:2" x14ac:dyDescent="0.3">
      <c r="B2765" t="str">
        <f>"            sr_paddr_dat["&amp;A2762&amp;"]   &lt;= 24'h0;"</f>
        <v xml:space="preserve">            sr_paddr_dat[235]   &lt;= 24'h0;</v>
      </c>
    </row>
    <row r="2766" spans="1:2" x14ac:dyDescent="0.3">
      <c r="B2766" t="s">
        <v>2</v>
      </c>
    </row>
    <row r="2767" spans="1:2" x14ac:dyDescent="0.3">
      <c r="B2767" t="str">
        <f>"           if (PADDR_CNT == 7'd"&amp;A2762&amp;")"</f>
        <v xml:space="preserve">           if (PADDR_CNT == 7'd235)</v>
      </c>
    </row>
    <row r="2768" spans="1:2" x14ac:dyDescent="0.3">
      <c r="B2768" t="str">
        <f>"               sr_paddr_dat["&amp;A2762&amp;"]  &lt;= sr_page_paddr_buf;"</f>
        <v xml:space="preserve">               sr_paddr_dat[235]  &lt;= sr_page_paddr_buf;</v>
      </c>
    </row>
    <row r="2769" spans="1:2" x14ac:dyDescent="0.3">
      <c r="B2769" t="s">
        <v>3</v>
      </c>
    </row>
    <row r="2770" spans="1:2" x14ac:dyDescent="0.3">
      <c r="B2770" t="str">
        <f>"               sr_paddr_dat["&amp;A2762&amp;"]  &lt;= sr_paddr_dat["&amp;A2762&amp;"];"</f>
        <v xml:space="preserve">               sr_paddr_dat[235]  &lt;= sr_paddr_dat[235];</v>
      </c>
    </row>
    <row r="2771" spans="1:2" x14ac:dyDescent="0.3">
      <c r="B2771" t="s">
        <v>4</v>
      </c>
    </row>
    <row r="2772" spans="1:2" x14ac:dyDescent="0.3">
      <c r="B2772" t="s">
        <v>5</v>
      </c>
    </row>
    <row r="2774" spans="1:2" x14ac:dyDescent="0.3">
      <c r="A2774">
        <f>A2762+1</f>
        <v>236</v>
      </c>
      <c r="B2774" t="str">
        <f>"    // Page Address Resister"&amp;A2774</f>
        <v xml:space="preserve">    // Page Address Resister236</v>
      </c>
    </row>
    <row r="2775" spans="1:2" x14ac:dyDescent="0.3">
      <c r="A2775" t="str">
        <f>DEC2HEX(A2774)</f>
        <v>EC</v>
      </c>
      <c r="B2775" t="s">
        <v>0</v>
      </c>
    </row>
    <row r="2776" spans="1:2" x14ac:dyDescent="0.3">
      <c r="B2776" t="s">
        <v>1</v>
      </c>
    </row>
    <row r="2777" spans="1:2" x14ac:dyDescent="0.3">
      <c r="B2777" t="str">
        <f>"            sr_paddr_dat["&amp;A2774&amp;"]   &lt;= 24'h0;"</f>
        <v xml:space="preserve">            sr_paddr_dat[236]   &lt;= 24'h0;</v>
      </c>
    </row>
    <row r="2778" spans="1:2" x14ac:dyDescent="0.3">
      <c r="B2778" t="s">
        <v>2</v>
      </c>
    </row>
    <row r="2779" spans="1:2" x14ac:dyDescent="0.3">
      <c r="B2779" t="str">
        <f>"           if (PADDR_CNT == 7'd"&amp;A2774&amp;")"</f>
        <v xml:space="preserve">           if (PADDR_CNT == 7'd236)</v>
      </c>
    </row>
    <row r="2780" spans="1:2" x14ac:dyDescent="0.3">
      <c r="B2780" t="str">
        <f>"               sr_paddr_dat["&amp;A2774&amp;"]  &lt;= sr_page_paddr_buf;"</f>
        <v xml:space="preserve">               sr_paddr_dat[236]  &lt;= sr_page_paddr_buf;</v>
      </c>
    </row>
    <row r="2781" spans="1:2" x14ac:dyDescent="0.3">
      <c r="B2781" t="s">
        <v>3</v>
      </c>
    </row>
    <row r="2782" spans="1:2" x14ac:dyDescent="0.3">
      <c r="B2782" t="str">
        <f>"               sr_paddr_dat["&amp;A2774&amp;"]  &lt;= sr_paddr_dat["&amp;A2774&amp;"];"</f>
        <v xml:space="preserve">               sr_paddr_dat[236]  &lt;= sr_paddr_dat[236];</v>
      </c>
    </row>
    <row r="2783" spans="1:2" x14ac:dyDescent="0.3">
      <c r="B2783" t="s">
        <v>4</v>
      </c>
    </row>
    <row r="2784" spans="1:2" x14ac:dyDescent="0.3">
      <c r="B2784" t="s">
        <v>5</v>
      </c>
    </row>
    <row r="2786" spans="1:2" x14ac:dyDescent="0.3">
      <c r="A2786">
        <f>A2774+1</f>
        <v>237</v>
      </c>
      <c r="B2786" t="str">
        <f>"    // Page Address Resister"&amp;A2786</f>
        <v xml:space="preserve">    // Page Address Resister237</v>
      </c>
    </row>
    <row r="2787" spans="1:2" x14ac:dyDescent="0.3">
      <c r="A2787" t="str">
        <f>DEC2HEX(A2786)</f>
        <v>ED</v>
      </c>
      <c r="B2787" t="s">
        <v>0</v>
      </c>
    </row>
    <row r="2788" spans="1:2" x14ac:dyDescent="0.3">
      <c r="B2788" t="s">
        <v>1</v>
      </c>
    </row>
    <row r="2789" spans="1:2" x14ac:dyDescent="0.3">
      <c r="B2789" t="str">
        <f>"            sr_paddr_dat["&amp;A2786&amp;"]   &lt;= 24'h0;"</f>
        <v xml:space="preserve">            sr_paddr_dat[237]   &lt;= 24'h0;</v>
      </c>
    </row>
    <row r="2790" spans="1:2" x14ac:dyDescent="0.3">
      <c r="B2790" t="s">
        <v>2</v>
      </c>
    </row>
    <row r="2791" spans="1:2" x14ac:dyDescent="0.3">
      <c r="B2791" t="str">
        <f>"           if (PADDR_CNT == 7'd"&amp;A2786&amp;")"</f>
        <v xml:space="preserve">           if (PADDR_CNT == 7'd237)</v>
      </c>
    </row>
    <row r="2792" spans="1:2" x14ac:dyDescent="0.3">
      <c r="B2792" t="str">
        <f>"               sr_paddr_dat["&amp;A2786&amp;"]  &lt;= sr_page_paddr_buf;"</f>
        <v xml:space="preserve">               sr_paddr_dat[237]  &lt;= sr_page_paddr_buf;</v>
      </c>
    </row>
    <row r="2793" spans="1:2" x14ac:dyDescent="0.3">
      <c r="B2793" t="s">
        <v>3</v>
      </c>
    </row>
    <row r="2794" spans="1:2" x14ac:dyDescent="0.3">
      <c r="B2794" t="str">
        <f>"               sr_paddr_dat["&amp;A2786&amp;"]  &lt;= sr_paddr_dat["&amp;A2786&amp;"];"</f>
        <v xml:space="preserve">               sr_paddr_dat[237]  &lt;= sr_paddr_dat[237];</v>
      </c>
    </row>
    <row r="2795" spans="1:2" x14ac:dyDescent="0.3">
      <c r="B2795" t="s">
        <v>4</v>
      </c>
    </row>
    <row r="2796" spans="1:2" x14ac:dyDescent="0.3">
      <c r="B2796" t="s">
        <v>5</v>
      </c>
    </row>
    <row r="2798" spans="1:2" x14ac:dyDescent="0.3">
      <c r="A2798">
        <f>A2786+1</f>
        <v>238</v>
      </c>
      <c r="B2798" t="str">
        <f>"    // Page Address Resister"&amp;A2798</f>
        <v xml:space="preserve">    // Page Address Resister238</v>
      </c>
    </row>
    <row r="2799" spans="1:2" x14ac:dyDescent="0.3">
      <c r="A2799" t="str">
        <f>DEC2HEX(A2798)</f>
        <v>EE</v>
      </c>
      <c r="B2799" t="s">
        <v>0</v>
      </c>
    </row>
    <row r="2800" spans="1:2" x14ac:dyDescent="0.3">
      <c r="B2800" t="s">
        <v>1</v>
      </c>
    </row>
    <row r="2801" spans="1:2" x14ac:dyDescent="0.3">
      <c r="B2801" t="str">
        <f>"            sr_paddr_dat["&amp;A2798&amp;"]   &lt;= 24'h0;"</f>
        <v xml:space="preserve">            sr_paddr_dat[238]   &lt;= 24'h0;</v>
      </c>
    </row>
    <row r="2802" spans="1:2" x14ac:dyDescent="0.3">
      <c r="B2802" t="s">
        <v>2</v>
      </c>
    </row>
    <row r="2803" spans="1:2" x14ac:dyDescent="0.3">
      <c r="B2803" t="str">
        <f>"           if (PADDR_CNT == 7'd"&amp;A2798&amp;")"</f>
        <v xml:space="preserve">           if (PADDR_CNT == 7'd238)</v>
      </c>
    </row>
    <row r="2804" spans="1:2" x14ac:dyDescent="0.3">
      <c r="B2804" t="str">
        <f>"               sr_paddr_dat["&amp;A2798&amp;"]  &lt;= sr_page_paddr_buf;"</f>
        <v xml:space="preserve">               sr_paddr_dat[238]  &lt;= sr_page_paddr_buf;</v>
      </c>
    </row>
    <row r="2805" spans="1:2" x14ac:dyDescent="0.3">
      <c r="B2805" t="s">
        <v>3</v>
      </c>
    </row>
    <row r="2806" spans="1:2" x14ac:dyDescent="0.3">
      <c r="B2806" t="str">
        <f>"               sr_paddr_dat["&amp;A2798&amp;"]  &lt;= sr_paddr_dat["&amp;A2798&amp;"];"</f>
        <v xml:space="preserve">               sr_paddr_dat[238]  &lt;= sr_paddr_dat[238];</v>
      </c>
    </row>
    <row r="2807" spans="1:2" x14ac:dyDescent="0.3">
      <c r="B2807" t="s">
        <v>4</v>
      </c>
    </row>
    <row r="2808" spans="1:2" x14ac:dyDescent="0.3">
      <c r="B2808" t="s">
        <v>5</v>
      </c>
    </row>
    <row r="2810" spans="1:2" x14ac:dyDescent="0.3">
      <c r="A2810">
        <f>A2798+1</f>
        <v>239</v>
      </c>
      <c r="B2810" t="str">
        <f>"    // Page Address Resister"&amp;A2810</f>
        <v xml:space="preserve">    // Page Address Resister239</v>
      </c>
    </row>
    <row r="2811" spans="1:2" x14ac:dyDescent="0.3">
      <c r="A2811" t="str">
        <f t="shared" ref="A2811" si="12">DEC2HEX(A2810)</f>
        <v>EF</v>
      </c>
      <c r="B2811" t="s">
        <v>0</v>
      </c>
    </row>
    <row r="2812" spans="1:2" x14ac:dyDescent="0.3">
      <c r="B2812" t="s">
        <v>1</v>
      </c>
    </row>
    <row r="2813" spans="1:2" x14ac:dyDescent="0.3">
      <c r="B2813" t="str">
        <f>"            sr_paddr_dat["&amp;A2810&amp;"]   &lt;= 24'h0;"</f>
        <v xml:space="preserve">            sr_paddr_dat[239]   &lt;= 24'h0;</v>
      </c>
    </row>
    <row r="2814" spans="1:2" x14ac:dyDescent="0.3">
      <c r="B2814" t="s">
        <v>2</v>
      </c>
    </row>
    <row r="2815" spans="1:2" x14ac:dyDescent="0.3">
      <c r="B2815" t="str">
        <f>"           if (PADDR_CNT == 7'd"&amp;A2810&amp;")"</f>
        <v xml:space="preserve">           if (PADDR_CNT == 7'd239)</v>
      </c>
    </row>
    <row r="2816" spans="1:2" x14ac:dyDescent="0.3">
      <c r="B2816" t="str">
        <f>"               sr_paddr_dat["&amp;A2810&amp;"]  &lt;= sr_page_paddr_buf;"</f>
        <v xml:space="preserve">               sr_paddr_dat[239]  &lt;= sr_page_paddr_buf;</v>
      </c>
    </row>
    <row r="2817" spans="1:2" x14ac:dyDescent="0.3">
      <c r="B2817" t="s">
        <v>3</v>
      </c>
    </row>
    <row r="2818" spans="1:2" x14ac:dyDescent="0.3">
      <c r="B2818" t="str">
        <f>"               sr_paddr_dat["&amp;A2810&amp;"]  &lt;= sr_paddr_dat["&amp;A2810&amp;"];"</f>
        <v xml:space="preserve">               sr_paddr_dat[239]  &lt;= sr_paddr_dat[239];</v>
      </c>
    </row>
    <row r="2819" spans="1:2" x14ac:dyDescent="0.3">
      <c r="B2819" t="s">
        <v>4</v>
      </c>
    </row>
    <row r="2820" spans="1:2" x14ac:dyDescent="0.3">
      <c r="B2820" t="s">
        <v>5</v>
      </c>
    </row>
    <row r="2822" spans="1:2" x14ac:dyDescent="0.3">
      <c r="A2822">
        <f>A2810+1</f>
        <v>240</v>
      </c>
      <c r="B2822" t="str">
        <f>"    // Page Address Resister"&amp;A2822</f>
        <v xml:space="preserve">    // Page Address Resister240</v>
      </c>
    </row>
    <row r="2823" spans="1:2" x14ac:dyDescent="0.3">
      <c r="A2823" t="str">
        <f t="shared" ref="A2823" si="13">DEC2HEX(A2822)</f>
        <v>F0</v>
      </c>
      <c r="B2823" t="s">
        <v>0</v>
      </c>
    </row>
    <row r="2824" spans="1:2" x14ac:dyDescent="0.3">
      <c r="B2824" t="s">
        <v>1</v>
      </c>
    </row>
    <row r="2825" spans="1:2" x14ac:dyDescent="0.3">
      <c r="B2825" t="str">
        <f>"            sr_paddr_dat["&amp;A2822&amp;"]   &lt;= 24'h0;"</f>
        <v xml:space="preserve">            sr_paddr_dat[240]   &lt;= 24'h0;</v>
      </c>
    </row>
    <row r="2826" spans="1:2" x14ac:dyDescent="0.3">
      <c r="B2826" t="s">
        <v>2</v>
      </c>
    </row>
    <row r="2827" spans="1:2" x14ac:dyDescent="0.3">
      <c r="B2827" t="str">
        <f>"           if (PADDR_CNT == 7'd"&amp;A2822&amp;")"</f>
        <v xml:space="preserve">           if (PADDR_CNT == 7'd240)</v>
      </c>
    </row>
    <row r="2828" spans="1:2" x14ac:dyDescent="0.3">
      <c r="B2828" t="str">
        <f>"               sr_paddr_dat["&amp;A2822&amp;"]  &lt;= sr_page_paddr_buf;"</f>
        <v xml:space="preserve">               sr_paddr_dat[240]  &lt;= sr_page_paddr_buf;</v>
      </c>
    </row>
    <row r="2829" spans="1:2" x14ac:dyDescent="0.3">
      <c r="B2829" t="s">
        <v>3</v>
      </c>
    </row>
    <row r="2830" spans="1:2" x14ac:dyDescent="0.3">
      <c r="B2830" t="str">
        <f>"               sr_paddr_dat["&amp;A2822&amp;"]  &lt;= sr_paddr_dat["&amp;A2822&amp;"];"</f>
        <v xml:space="preserve">               sr_paddr_dat[240]  &lt;= sr_paddr_dat[240];</v>
      </c>
    </row>
    <row r="2831" spans="1:2" x14ac:dyDescent="0.3">
      <c r="B2831" t="s">
        <v>4</v>
      </c>
    </row>
    <row r="2832" spans="1:2" x14ac:dyDescent="0.3">
      <c r="B2832" t="s">
        <v>5</v>
      </c>
    </row>
    <row r="2834" spans="1:2" x14ac:dyDescent="0.3">
      <c r="A2834">
        <f>A2822+1</f>
        <v>241</v>
      </c>
      <c r="B2834" t="str">
        <f>"    // Page Address Resister"&amp;A2834</f>
        <v xml:space="preserve">    // Page Address Resister241</v>
      </c>
    </row>
    <row r="2835" spans="1:2" x14ac:dyDescent="0.3">
      <c r="A2835" t="str">
        <f t="shared" ref="A2835" si="14">DEC2HEX(A2834)</f>
        <v>F1</v>
      </c>
      <c r="B2835" t="s">
        <v>0</v>
      </c>
    </row>
    <row r="2836" spans="1:2" x14ac:dyDescent="0.3">
      <c r="B2836" t="s">
        <v>1</v>
      </c>
    </row>
    <row r="2837" spans="1:2" x14ac:dyDescent="0.3">
      <c r="B2837" t="str">
        <f>"            sr_paddr_dat["&amp;A2834&amp;"]   &lt;= 24'h0;"</f>
        <v xml:space="preserve">            sr_paddr_dat[241]   &lt;= 24'h0;</v>
      </c>
    </row>
    <row r="2838" spans="1:2" x14ac:dyDescent="0.3">
      <c r="B2838" t="s">
        <v>2</v>
      </c>
    </row>
    <row r="2839" spans="1:2" x14ac:dyDescent="0.3">
      <c r="B2839" t="str">
        <f>"           if (PADDR_CNT == 7'd"&amp;A2834&amp;")"</f>
        <v xml:space="preserve">           if (PADDR_CNT == 7'd241)</v>
      </c>
    </row>
    <row r="2840" spans="1:2" x14ac:dyDescent="0.3">
      <c r="B2840" t="str">
        <f>"               sr_paddr_dat["&amp;A2834&amp;"]  &lt;= sr_page_paddr_buf;"</f>
        <v xml:space="preserve">               sr_paddr_dat[241]  &lt;= sr_page_paddr_buf;</v>
      </c>
    </row>
    <row r="2841" spans="1:2" x14ac:dyDescent="0.3">
      <c r="B2841" t="s">
        <v>3</v>
      </c>
    </row>
    <row r="2842" spans="1:2" x14ac:dyDescent="0.3">
      <c r="B2842" t="str">
        <f>"               sr_paddr_dat["&amp;A2834&amp;"]  &lt;= sr_paddr_dat["&amp;A2834&amp;"];"</f>
        <v xml:space="preserve">               sr_paddr_dat[241]  &lt;= sr_paddr_dat[241];</v>
      </c>
    </row>
    <row r="2843" spans="1:2" x14ac:dyDescent="0.3">
      <c r="B2843" t="s">
        <v>4</v>
      </c>
    </row>
    <row r="2844" spans="1:2" x14ac:dyDescent="0.3">
      <c r="B2844" t="s">
        <v>5</v>
      </c>
    </row>
    <row r="2846" spans="1:2" x14ac:dyDescent="0.3">
      <c r="A2846">
        <f>A2834+1</f>
        <v>242</v>
      </c>
      <c r="B2846" t="str">
        <f>"    // Page Address Resister"&amp;A2846</f>
        <v xml:space="preserve">    // Page Address Resister242</v>
      </c>
    </row>
    <row r="2847" spans="1:2" x14ac:dyDescent="0.3">
      <c r="A2847" t="str">
        <f>DEC2HEX(A2846)</f>
        <v>F2</v>
      </c>
      <c r="B2847" t="s">
        <v>0</v>
      </c>
    </row>
    <row r="2848" spans="1:2" x14ac:dyDescent="0.3">
      <c r="B2848" t="s">
        <v>1</v>
      </c>
    </row>
    <row r="2849" spans="1:2" x14ac:dyDescent="0.3">
      <c r="B2849" t="str">
        <f>"            sr_paddr_dat["&amp;A2846&amp;"]   &lt;= 24'h0;"</f>
        <v xml:space="preserve">            sr_paddr_dat[242]   &lt;= 24'h0;</v>
      </c>
    </row>
    <row r="2850" spans="1:2" x14ac:dyDescent="0.3">
      <c r="B2850" t="s">
        <v>2</v>
      </c>
    </row>
    <row r="2851" spans="1:2" x14ac:dyDescent="0.3">
      <c r="B2851" t="str">
        <f>"           if (PADDR_CNT == 7'd"&amp;A2846&amp;")"</f>
        <v xml:space="preserve">           if (PADDR_CNT == 7'd242)</v>
      </c>
    </row>
    <row r="2852" spans="1:2" x14ac:dyDescent="0.3">
      <c r="B2852" t="str">
        <f>"               sr_paddr_dat["&amp;A2846&amp;"]  &lt;= sr_page_paddr_buf;"</f>
        <v xml:space="preserve">               sr_paddr_dat[242]  &lt;= sr_page_paddr_buf;</v>
      </c>
    </row>
    <row r="2853" spans="1:2" x14ac:dyDescent="0.3">
      <c r="B2853" t="s">
        <v>3</v>
      </c>
    </row>
    <row r="2854" spans="1:2" x14ac:dyDescent="0.3">
      <c r="B2854" t="str">
        <f>"               sr_paddr_dat["&amp;A2846&amp;"]  &lt;= sr_paddr_dat["&amp;A2846&amp;"];"</f>
        <v xml:space="preserve">               sr_paddr_dat[242]  &lt;= sr_paddr_dat[242];</v>
      </c>
    </row>
    <row r="2855" spans="1:2" x14ac:dyDescent="0.3">
      <c r="B2855" t="s">
        <v>4</v>
      </c>
    </row>
    <row r="2856" spans="1:2" x14ac:dyDescent="0.3">
      <c r="B2856" t="s">
        <v>5</v>
      </c>
    </row>
    <row r="2858" spans="1:2" x14ac:dyDescent="0.3">
      <c r="A2858">
        <f>A2846+1</f>
        <v>243</v>
      </c>
      <c r="B2858" t="str">
        <f>"    // Page Address Resister"&amp;A2858</f>
        <v xml:space="preserve">    // Page Address Resister243</v>
      </c>
    </row>
    <row r="2859" spans="1:2" x14ac:dyDescent="0.3">
      <c r="A2859" t="str">
        <f>DEC2HEX(A2858)</f>
        <v>F3</v>
      </c>
      <c r="B2859" t="s">
        <v>0</v>
      </c>
    </row>
    <row r="2860" spans="1:2" x14ac:dyDescent="0.3">
      <c r="B2860" t="s">
        <v>1</v>
      </c>
    </row>
    <row r="2861" spans="1:2" x14ac:dyDescent="0.3">
      <c r="B2861" t="str">
        <f>"            sr_paddr_dat["&amp;A2858&amp;"]   &lt;= 24'h0;"</f>
        <v xml:space="preserve">            sr_paddr_dat[243]   &lt;= 24'h0;</v>
      </c>
    </row>
    <row r="2862" spans="1:2" x14ac:dyDescent="0.3">
      <c r="B2862" t="s">
        <v>2</v>
      </c>
    </row>
    <row r="2863" spans="1:2" x14ac:dyDescent="0.3">
      <c r="B2863" t="str">
        <f>"           if (PADDR_CNT == 7'd"&amp;A2858&amp;")"</f>
        <v xml:space="preserve">           if (PADDR_CNT == 7'd243)</v>
      </c>
    </row>
    <row r="2864" spans="1:2" x14ac:dyDescent="0.3">
      <c r="B2864" t="str">
        <f>"               sr_paddr_dat["&amp;A2858&amp;"]  &lt;= sr_page_paddr_buf;"</f>
        <v xml:space="preserve">               sr_paddr_dat[243]  &lt;= sr_page_paddr_buf;</v>
      </c>
    </row>
    <row r="2865" spans="1:2" x14ac:dyDescent="0.3">
      <c r="B2865" t="s">
        <v>3</v>
      </c>
    </row>
    <row r="2866" spans="1:2" x14ac:dyDescent="0.3">
      <c r="B2866" t="str">
        <f>"               sr_paddr_dat["&amp;A2858&amp;"]  &lt;= sr_paddr_dat["&amp;A2858&amp;"];"</f>
        <v xml:space="preserve">               sr_paddr_dat[243]  &lt;= sr_paddr_dat[243];</v>
      </c>
    </row>
    <row r="2867" spans="1:2" x14ac:dyDescent="0.3">
      <c r="B2867" t="s">
        <v>4</v>
      </c>
    </row>
    <row r="2868" spans="1:2" x14ac:dyDescent="0.3">
      <c r="B2868" t="s">
        <v>5</v>
      </c>
    </row>
    <row r="2870" spans="1:2" x14ac:dyDescent="0.3">
      <c r="A2870">
        <f>A2858+1</f>
        <v>244</v>
      </c>
      <c r="B2870" t="str">
        <f>"    // Page Address Resister"&amp;A2870</f>
        <v xml:space="preserve">    // Page Address Resister244</v>
      </c>
    </row>
    <row r="2871" spans="1:2" x14ac:dyDescent="0.3">
      <c r="A2871" t="str">
        <f>DEC2HEX(A2870)</f>
        <v>F4</v>
      </c>
      <c r="B2871" t="s">
        <v>0</v>
      </c>
    </row>
    <row r="2872" spans="1:2" x14ac:dyDescent="0.3">
      <c r="B2872" t="s">
        <v>1</v>
      </c>
    </row>
    <row r="2873" spans="1:2" x14ac:dyDescent="0.3">
      <c r="B2873" t="str">
        <f>"            sr_paddr_dat["&amp;A2870&amp;"]   &lt;= 24'h0;"</f>
        <v xml:space="preserve">            sr_paddr_dat[244]   &lt;= 24'h0;</v>
      </c>
    </row>
    <row r="2874" spans="1:2" x14ac:dyDescent="0.3">
      <c r="B2874" t="s">
        <v>2</v>
      </c>
    </row>
    <row r="2875" spans="1:2" x14ac:dyDescent="0.3">
      <c r="B2875" t="str">
        <f>"           if (PADDR_CNT == 7'd"&amp;A2870&amp;")"</f>
        <v xml:space="preserve">           if (PADDR_CNT == 7'd244)</v>
      </c>
    </row>
    <row r="2876" spans="1:2" x14ac:dyDescent="0.3">
      <c r="B2876" t="str">
        <f>"               sr_paddr_dat["&amp;A2870&amp;"]  &lt;= sr_page_paddr_buf;"</f>
        <v xml:space="preserve">               sr_paddr_dat[244]  &lt;= sr_page_paddr_buf;</v>
      </c>
    </row>
    <row r="2877" spans="1:2" x14ac:dyDescent="0.3">
      <c r="B2877" t="s">
        <v>3</v>
      </c>
    </row>
    <row r="2878" spans="1:2" x14ac:dyDescent="0.3">
      <c r="B2878" t="str">
        <f>"               sr_paddr_dat["&amp;A2870&amp;"]  &lt;= sr_paddr_dat["&amp;A2870&amp;"];"</f>
        <v xml:space="preserve">               sr_paddr_dat[244]  &lt;= sr_paddr_dat[244];</v>
      </c>
    </row>
    <row r="2879" spans="1:2" x14ac:dyDescent="0.3">
      <c r="B2879" t="s">
        <v>4</v>
      </c>
    </row>
    <row r="2880" spans="1:2" x14ac:dyDescent="0.3">
      <c r="B2880" t="s">
        <v>5</v>
      </c>
    </row>
    <row r="2882" spans="1:2" x14ac:dyDescent="0.3">
      <c r="A2882">
        <f>A2870+1</f>
        <v>245</v>
      </c>
      <c r="B2882" t="str">
        <f>"    // Page Address Resister"&amp;A2882</f>
        <v xml:space="preserve">    // Page Address Resister245</v>
      </c>
    </row>
    <row r="2883" spans="1:2" x14ac:dyDescent="0.3">
      <c r="A2883" t="str">
        <f>DEC2HEX(A2882)</f>
        <v>F5</v>
      </c>
      <c r="B2883" t="s">
        <v>0</v>
      </c>
    </row>
    <row r="2884" spans="1:2" x14ac:dyDescent="0.3">
      <c r="B2884" t="s">
        <v>1</v>
      </c>
    </row>
    <row r="2885" spans="1:2" x14ac:dyDescent="0.3">
      <c r="B2885" t="str">
        <f>"            sr_paddr_dat["&amp;A2882&amp;"]   &lt;= 24'h0;"</f>
        <v xml:space="preserve">            sr_paddr_dat[245]   &lt;= 24'h0;</v>
      </c>
    </row>
    <row r="2886" spans="1:2" x14ac:dyDescent="0.3">
      <c r="B2886" t="s">
        <v>2</v>
      </c>
    </row>
    <row r="2887" spans="1:2" x14ac:dyDescent="0.3">
      <c r="B2887" t="str">
        <f>"           if (PADDR_CNT == 7'd"&amp;A2882&amp;")"</f>
        <v xml:space="preserve">           if (PADDR_CNT == 7'd245)</v>
      </c>
    </row>
    <row r="2888" spans="1:2" x14ac:dyDescent="0.3">
      <c r="B2888" t="str">
        <f>"               sr_paddr_dat["&amp;A2882&amp;"]  &lt;= sr_page_paddr_buf;"</f>
        <v xml:space="preserve">               sr_paddr_dat[245]  &lt;= sr_page_paddr_buf;</v>
      </c>
    </row>
    <row r="2889" spans="1:2" x14ac:dyDescent="0.3">
      <c r="B2889" t="s">
        <v>3</v>
      </c>
    </row>
    <row r="2890" spans="1:2" x14ac:dyDescent="0.3">
      <c r="B2890" t="str">
        <f>"               sr_paddr_dat["&amp;A2882&amp;"]  &lt;= sr_paddr_dat["&amp;A2882&amp;"];"</f>
        <v xml:space="preserve">               sr_paddr_dat[245]  &lt;= sr_paddr_dat[245];</v>
      </c>
    </row>
    <row r="2891" spans="1:2" x14ac:dyDescent="0.3">
      <c r="B2891" t="s">
        <v>4</v>
      </c>
    </row>
    <row r="2892" spans="1:2" x14ac:dyDescent="0.3">
      <c r="B2892" t="s">
        <v>5</v>
      </c>
    </row>
    <row r="2894" spans="1:2" x14ac:dyDescent="0.3">
      <c r="A2894">
        <f>A2882+1</f>
        <v>246</v>
      </c>
      <c r="B2894" t="str">
        <f>"    // Page Address Resister"&amp;A2894</f>
        <v xml:space="preserve">    // Page Address Resister246</v>
      </c>
    </row>
    <row r="2895" spans="1:2" x14ac:dyDescent="0.3">
      <c r="A2895" t="str">
        <f>DEC2HEX(A2894)</f>
        <v>F6</v>
      </c>
      <c r="B2895" t="s">
        <v>0</v>
      </c>
    </row>
    <row r="2896" spans="1:2" x14ac:dyDescent="0.3">
      <c r="B2896" t="s">
        <v>1</v>
      </c>
    </row>
    <row r="2897" spans="1:2" x14ac:dyDescent="0.3">
      <c r="B2897" t="str">
        <f>"            sr_paddr_dat["&amp;A2894&amp;"]   &lt;= 24'h0;"</f>
        <v xml:space="preserve">            sr_paddr_dat[246]   &lt;= 24'h0;</v>
      </c>
    </row>
    <row r="2898" spans="1:2" x14ac:dyDescent="0.3">
      <c r="B2898" t="s">
        <v>2</v>
      </c>
    </row>
    <row r="2899" spans="1:2" x14ac:dyDescent="0.3">
      <c r="B2899" t="str">
        <f>"           if (PADDR_CNT == 7'd"&amp;A2894&amp;")"</f>
        <v xml:space="preserve">           if (PADDR_CNT == 7'd246)</v>
      </c>
    </row>
    <row r="2900" spans="1:2" x14ac:dyDescent="0.3">
      <c r="B2900" t="str">
        <f>"               sr_paddr_dat["&amp;A2894&amp;"]  &lt;= sr_page_paddr_buf;"</f>
        <v xml:space="preserve">               sr_paddr_dat[246]  &lt;= sr_page_paddr_buf;</v>
      </c>
    </row>
    <row r="2901" spans="1:2" x14ac:dyDescent="0.3">
      <c r="B2901" t="s">
        <v>3</v>
      </c>
    </row>
    <row r="2902" spans="1:2" x14ac:dyDescent="0.3">
      <c r="B2902" t="str">
        <f>"               sr_paddr_dat["&amp;A2894&amp;"]  &lt;= sr_paddr_dat["&amp;A2894&amp;"];"</f>
        <v xml:space="preserve">               sr_paddr_dat[246]  &lt;= sr_paddr_dat[246];</v>
      </c>
    </row>
    <row r="2903" spans="1:2" x14ac:dyDescent="0.3">
      <c r="B2903" t="s">
        <v>4</v>
      </c>
    </row>
    <row r="2904" spans="1:2" x14ac:dyDescent="0.3">
      <c r="B2904" t="s">
        <v>5</v>
      </c>
    </row>
    <row r="2906" spans="1:2" x14ac:dyDescent="0.3">
      <c r="A2906">
        <f>A2894+1</f>
        <v>247</v>
      </c>
      <c r="B2906" t="str">
        <f>"    // Page Address Resister"&amp;A2906</f>
        <v xml:space="preserve">    // Page Address Resister247</v>
      </c>
    </row>
    <row r="2907" spans="1:2" x14ac:dyDescent="0.3">
      <c r="A2907" t="str">
        <f>DEC2HEX(A2906)</f>
        <v>F7</v>
      </c>
      <c r="B2907" t="s">
        <v>0</v>
      </c>
    </row>
    <row r="2908" spans="1:2" x14ac:dyDescent="0.3">
      <c r="B2908" t="s">
        <v>1</v>
      </c>
    </row>
    <row r="2909" spans="1:2" x14ac:dyDescent="0.3">
      <c r="B2909" t="str">
        <f>"            sr_paddr_dat["&amp;A2906&amp;"]   &lt;= 24'h0;"</f>
        <v xml:space="preserve">            sr_paddr_dat[247]   &lt;= 24'h0;</v>
      </c>
    </row>
    <row r="2910" spans="1:2" x14ac:dyDescent="0.3">
      <c r="B2910" t="s">
        <v>2</v>
      </c>
    </row>
    <row r="2911" spans="1:2" x14ac:dyDescent="0.3">
      <c r="B2911" t="str">
        <f>"           if (PADDR_CNT == 7'd"&amp;A2906&amp;")"</f>
        <v xml:space="preserve">           if (PADDR_CNT == 7'd247)</v>
      </c>
    </row>
    <row r="2912" spans="1:2" x14ac:dyDescent="0.3">
      <c r="B2912" t="str">
        <f>"               sr_paddr_dat["&amp;A2906&amp;"]  &lt;= sr_page_paddr_buf;"</f>
        <v xml:space="preserve">               sr_paddr_dat[247]  &lt;= sr_page_paddr_buf;</v>
      </c>
    </row>
    <row r="2913" spans="1:2" x14ac:dyDescent="0.3">
      <c r="B2913" t="s">
        <v>3</v>
      </c>
    </row>
    <row r="2914" spans="1:2" x14ac:dyDescent="0.3">
      <c r="B2914" t="str">
        <f>"               sr_paddr_dat["&amp;A2906&amp;"]  &lt;= sr_paddr_dat["&amp;A2906&amp;"];"</f>
        <v xml:space="preserve">               sr_paddr_dat[247]  &lt;= sr_paddr_dat[247];</v>
      </c>
    </row>
    <row r="2915" spans="1:2" x14ac:dyDescent="0.3">
      <c r="B2915" t="s">
        <v>4</v>
      </c>
    </row>
    <row r="2916" spans="1:2" x14ac:dyDescent="0.3">
      <c r="B2916" t="s">
        <v>5</v>
      </c>
    </row>
    <row r="2918" spans="1:2" x14ac:dyDescent="0.3">
      <c r="A2918">
        <f>A2906+1</f>
        <v>248</v>
      </c>
      <c r="B2918" t="str">
        <f>"    // Page Address Resister"&amp;A2918</f>
        <v xml:space="preserve">    // Page Address Resister248</v>
      </c>
    </row>
    <row r="2919" spans="1:2" x14ac:dyDescent="0.3">
      <c r="A2919" t="str">
        <f>DEC2HEX(A2918)</f>
        <v>F8</v>
      </c>
      <c r="B2919" t="s">
        <v>0</v>
      </c>
    </row>
    <row r="2920" spans="1:2" x14ac:dyDescent="0.3">
      <c r="B2920" t="s">
        <v>1</v>
      </c>
    </row>
    <row r="2921" spans="1:2" x14ac:dyDescent="0.3">
      <c r="B2921" t="str">
        <f>"            sr_paddr_dat["&amp;A2918&amp;"]   &lt;= 24'h0;"</f>
        <v xml:space="preserve">            sr_paddr_dat[248]   &lt;= 24'h0;</v>
      </c>
    </row>
    <row r="2922" spans="1:2" x14ac:dyDescent="0.3">
      <c r="B2922" t="s">
        <v>2</v>
      </c>
    </row>
    <row r="2923" spans="1:2" x14ac:dyDescent="0.3">
      <c r="B2923" t="str">
        <f>"           if (PADDR_CNT == 7'd"&amp;A2918&amp;")"</f>
        <v xml:space="preserve">           if (PADDR_CNT == 7'd248)</v>
      </c>
    </row>
    <row r="2924" spans="1:2" x14ac:dyDescent="0.3">
      <c r="B2924" t="str">
        <f>"               sr_paddr_dat["&amp;A2918&amp;"]  &lt;= sr_page_paddr_buf;"</f>
        <v xml:space="preserve">               sr_paddr_dat[248]  &lt;= sr_page_paddr_buf;</v>
      </c>
    </row>
    <row r="2925" spans="1:2" x14ac:dyDescent="0.3">
      <c r="B2925" t="s">
        <v>3</v>
      </c>
    </row>
    <row r="2926" spans="1:2" x14ac:dyDescent="0.3">
      <c r="B2926" t="str">
        <f>"               sr_paddr_dat["&amp;A2918&amp;"]  &lt;= sr_paddr_dat["&amp;A2918&amp;"];"</f>
        <v xml:space="preserve">               sr_paddr_dat[248]  &lt;= sr_paddr_dat[248];</v>
      </c>
    </row>
    <row r="2927" spans="1:2" x14ac:dyDescent="0.3">
      <c r="B2927" t="s">
        <v>4</v>
      </c>
    </row>
    <row r="2928" spans="1:2" x14ac:dyDescent="0.3">
      <c r="B2928" t="s">
        <v>5</v>
      </c>
    </row>
    <row r="2930" spans="1:2" x14ac:dyDescent="0.3">
      <c r="A2930">
        <f>A2918+1</f>
        <v>249</v>
      </c>
      <c r="B2930" t="str">
        <f>"    // Page Address Resister"&amp;A2930</f>
        <v xml:space="preserve">    // Page Address Resister249</v>
      </c>
    </row>
    <row r="2931" spans="1:2" x14ac:dyDescent="0.3">
      <c r="A2931" t="str">
        <f>DEC2HEX(A2930)</f>
        <v>F9</v>
      </c>
      <c r="B2931" t="s">
        <v>0</v>
      </c>
    </row>
    <row r="2932" spans="1:2" x14ac:dyDescent="0.3">
      <c r="B2932" t="s">
        <v>1</v>
      </c>
    </row>
    <row r="2933" spans="1:2" x14ac:dyDescent="0.3">
      <c r="B2933" t="str">
        <f>"            sr_paddr_dat["&amp;A2930&amp;"]   &lt;= 24'h0;"</f>
        <v xml:space="preserve">            sr_paddr_dat[249]   &lt;= 24'h0;</v>
      </c>
    </row>
    <row r="2934" spans="1:2" x14ac:dyDescent="0.3">
      <c r="B2934" t="s">
        <v>2</v>
      </c>
    </row>
    <row r="2935" spans="1:2" x14ac:dyDescent="0.3">
      <c r="B2935" t="str">
        <f>"           if (PADDR_CNT == 7'd"&amp;A2930&amp;")"</f>
        <v xml:space="preserve">           if (PADDR_CNT == 7'd249)</v>
      </c>
    </row>
    <row r="2936" spans="1:2" x14ac:dyDescent="0.3">
      <c r="B2936" t="str">
        <f>"               sr_paddr_dat["&amp;A2930&amp;"]  &lt;= sr_page_paddr_buf;"</f>
        <v xml:space="preserve">               sr_paddr_dat[249]  &lt;= sr_page_paddr_buf;</v>
      </c>
    </row>
    <row r="2937" spans="1:2" x14ac:dyDescent="0.3">
      <c r="B2937" t="s">
        <v>3</v>
      </c>
    </row>
    <row r="2938" spans="1:2" x14ac:dyDescent="0.3">
      <c r="B2938" t="str">
        <f>"               sr_paddr_dat["&amp;A2930&amp;"]  &lt;= sr_paddr_dat["&amp;A2930&amp;"];"</f>
        <v xml:space="preserve">               sr_paddr_dat[249]  &lt;= sr_paddr_dat[249];</v>
      </c>
    </row>
    <row r="2939" spans="1:2" x14ac:dyDescent="0.3">
      <c r="B2939" t="s">
        <v>4</v>
      </c>
    </row>
    <row r="2940" spans="1:2" x14ac:dyDescent="0.3">
      <c r="B2940" t="s">
        <v>5</v>
      </c>
    </row>
    <row r="2942" spans="1:2" x14ac:dyDescent="0.3">
      <c r="A2942">
        <f>A2930+1</f>
        <v>250</v>
      </c>
      <c r="B2942" t="str">
        <f>"    // Page Address Resister"&amp;A2942</f>
        <v xml:space="preserve">    // Page Address Resister250</v>
      </c>
    </row>
    <row r="2943" spans="1:2" x14ac:dyDescent="0.3">
      <c r="A2943" t="str">
        <f>DEC2HEX(A2942)</f>
        <v>FA</v>
      </c>
      <c r="B2943" t="s">
        <v>0</v>
      </c>
    </row>
    <row r="2944" spans="1:2" x14ac:dyDescent="0.3">
      <c r="B2944" t="s">
        <v>1</v>
      </c>
    </row>
    <row r="2945" spans="1:2" x14ac:dyDescent="0.3">
      <c r="B2945" t="str">
        <f>"            sr_paddr_dat["&amp;A2942&amp;"]   &lt;= 24'h0;"</f>
        <v xml:space="preserve">            sr_paddr_dat[250]   &lt;= 24'h0;</v>
      </c>
    </row>
    <row r="2946" spans="1:2" x14ac:dyDescent="0.3">
      <c r="B2946" t="s">
        <v>2</v>
      </c>
    </row>
    <row r="2947" spans="1:2" x14ac:dyDescent="0.3">
      <c r="B2947" t="str">
        <f>"           if (PADDR_CNT == 7'd"&amp;A2942&amp;")"</f>
        <v xml:space="preserve">           if (PADDR_CNT == 7'd250)</v>
      </c>
    </row>
    <row r="2948" spans="1:2" x14ac:dyDescent="0.3">
      <c r="B2948" t="str">
        <f>"               sr_paddr_dat["&amp;A2942&amp;"]  &lt;= sr_page_paddr_buf;"</f>
        <v xml:space="preserve">               sr_paddr_dat[250]  &lt;= sr_page_paddr_buf;</v>
      </c>
    </row>
    <row r="2949" spans="1:2" x14ac:dyDescent="0.3">
      <c r="B2949" t="s">
        <v>3</v>
      </c>
    </row>
    <row r="2950" spans="1:2" x14ac:dyDescent="0.3">
      <c r="B2950" t="str">
        <f>"               sr_paddr_dat["&amp;A2942&amp;"]  &lt;= sr_paddr_dat["&amp;A2942&amp;"];"</f>
        <v xml:space="preserve">               sr_paddr_dat[250]  &lt;= sr_paddr_dat[250];</v>
      </c>
    </row>
    <row r="2951" spans="1:2" x14ac:dyDescent="0.3">
      <c r="B2951" t="s">
        <v>4</v>
      </c>
    </row>
    <row r="2952" spans="1:2" x14ac:dyDescent="0.3">
      <c r="B2952" t="s">
        <v>5</v>
      </c>
    </row>
    <row r="2954" spans="1:2" x14ac:dyDescent="0.3">
      <c r="A2954">
        <f>A2942+1</f>
        <v>251</v>
      </c>
      <c r="B2954" t="str">
        <f>"    // Page Address Resister"&amp;A2954</f>
        <v xml:space="preserve">    // Page Address Resister251</v>
      </c>
    </row>
    <row r="2955" spans="1:2" x14ac:dyDescent="0.3">
      <c r="A2955" t="str">
        <f>DEC2HEX(A2954)</f>
        <v>FB</v>
      </c>
      <c r="B2955" t="s">
        <v>0</v>
      </c>
    </row>
    <row r="2956" spans="1:2" x14ac:dyDescent="0.3">
      <c r="B2956" t="s">
        <v>1</v>
      </c>
    </row>
    <row r="2957" spans="1:2" x14ac:dyDescent="0.3">
      <c r="B2957" t="str">
        <f>"            sr_paddr_dat["&amp;A2954&amp;"]   &lt;= 24'h0;"</f>
        <v xml:space="preserve">            sr_paddr_dat[251]   &lt;= 24'h0;</v>
      </c>
    </row>
    <row r="2958" spans="1:2" x14ac:dyDescent="0.3">
      <c r="B2958" t="s">
        <v>2</v>
      </c>
    </row>
    <row r="2959" spans="1:2" x14ac:dyDescent="0.3">
      <c r="B2959" t="str">
        <f>"           if (PADDR_CNT == 7'd"&amp;A2954&amp;")"</f>
        <v xml:space="preserve">           if (PADDR_CNT == 7'd251)</v>
      </c>
    </row>
    <row r="2960" spans="1:2" x14ac:dyDescent="0.3">
      <c r="B2960" t="str">
        <f>"               sr_paddr_dat["&amp;A2954&amp;"]  &lt;= sr_page_paddr_buf;"</f>
        <v xml:space="preserve">               sr_paddr_dat[251]  &lt;= sr_page_paddr_buf;</v>
      </c>
    </row>
    <row r="2961" spans="1:2" x14ac:dyDescent="0.3">
      <c r="B2961" t="s">
        <v>3</v>
      </c>
    </row>
    <row r="2962" spans="1:2" x14ac:dyDescent="0.3">
      <c r="B2962" t="str">
        <f>"               sr_paddr_dat["&amp;A2954&amp;"]  &lt;= sr_paddr_dat["&amp;A2954&amp;"];"</f>
        <v xml:space="preserve">               sr_paddr_dat[251]  &lt;= sr_paddr_dat[251];</v>
      </c>
    </row>
    <row r="2963" spans="1:2" x14ac:dyDescent="0.3">
      <c r="B2963" t="s">
        <v>4</v>
      </c>
    </row>
    <row r="2964" spans="1:2" x14ac:dyDescent="0.3">
      <c r="B2964" t="s">
        <v>5</v>
      </c>
    </row>
    <row r="2966" spans="1:2" x14ac:dyDescent="0.3">
      <c r="A2966">
        <f>A2954+1</f>
        <v>252</v>
      </c>
      <c r="B2966" t="str">
        <f>"    // Page Address Resister"&amp;A2966</f>
        <v xml:space="preserve">    // Page Address Resister252</v>
      </c>
    </row>
    <row r="2967" spans="1:2" x14ac:dyDescent="0.3">
      <c r="A2967" t="str">
        <f>DEC2HEX(A2966)</f>
        <v>FC</v>
      </c>
      <c r="B2967" t="s">
        <v>0</v>
      </c>
    </row>
    <row r="2968" spans="1:2" x14ac:dyDescent="0.3">
      <c r="B2968" t="s">
        <v>1</v>
      </c>
    </row>
    <row r="2969" spans="1:2" x14ac:dyDescent="0.3">
      <c r="B2969" t="str">
        <f>"            sr_paddr_dat["&amp;A2966&amp;"]   &lt;= 24'h0;"</f>
        <v xml:space="preserve">            sr_paddr_dat[252]   &lt;= 24'h0;</v>
      </c>
    </row>
    <row r="2970" spans="1:2" x14ac:dyDescent="0.3">
      <c r="B2970" t="s">
        <v>2</v>
      </c>
    </row>
    <row r="2971" spans="1:2" x14ac:dyDescent="0.3">
      <c r="B2971" t="str">
        <f>"           if (PADDR_CNT == 7'd"&amp;A2966&amp;")"</f>
        <v xml:space="preserve">           if (PADDR_CNT == 7'd252)</v>
      </c>
    </row>
    <row r="2972" spans="1:2" x14ac:dyDescent="0.3">
      <c r="B2972" t="str">
        <f>"               sr_paddr_dat["&amp;A2966&amp;"]  &lt;= sr_page_paddr_buf;"</f>
        <v xml:space="preserve">               sr_paddr_dat[252]  &lt;= sr_page_paddr_buf;</v>
      </c>
    </row>
    <row r="2973" spans="1:2" x14ac:dyDescent="0.3">
      <c r="B2973" t="s">
        <v>3</v>
      </c>
    </row>
    <row r="2974" spans="1:2" x14ac:dyDescent="0.3">
      <c r="B2974" t="str">
        <f>"               sr_paddr_dat["&amp;A2966&amp;"]  &lt;= sr_paddr_dat["&amp;A2966&amp;"];"</f>
        <v xml:space="preserve">               sr_paddr_dat[252]  &lt;= sr_paddr_dat[252];</v>
      </c>
    </row>
    <row r="2975" spans="1:2" x14ac:dyDescent="0.3">
      <c r="B2975" t="s">
        <v>4</v>
      </c>
    </row>
    <row r="2976" spans="1:2" x14ac:dyDescent="0.3">
      <c r="B2976" t="s">
        <v>5</v>
      </c>
    </row>
    <row r="2978" spans="1:2" x14ac:dyDescent="0.3">
      <c r="A2978">
        <f>A2966+1</f>
        <v>253</v>
      </c>
      <c r="B2978" t="str">
        <f>"    // Page Address Resister"&amp;A2978</f>
        <v xml:space="preserve">    // Page Address Resister253</v>
      </c>
    </row>
    <row r="2979" spans="1:2" x14ac:dyDescent="0.3">
      <c r="A2979" t="str">
        <f>DEC2HEX(A2978)</f>
        <v>FD</v>
      </c>
      <c r="B2979" t="s">
        <v>0</v>
      </c>
    </row>
    <row r="2980" spans="1:2" x14ac:dyDescent="0.3">
      <c r="B2980" t="s">
        <v>1</v>
      </c>
    </row>
    <row r="2981" spans="1:2" x14ac:dyDescent="0.3">
      <c r="B2981" t="str">
        <f>"            sr_paddr_dat["&amp;A2978&amp;"]   &lt;= 24'h0;"</f>
        <v xml:space="preserve">            sr_paddr_dat[253]   &lt;= 24'h0;</v>
      </c>
    </row>
    <row r="2982" spans="1:2" x14ac:dyDescent="0.3">
      <c r="B2982" t="s">
        <v>2</v>
      </c>
    </row>
    <row r="2983" spans="1:2" x14ac:dyDescent="0.3">
      <c r="B2983" t="str">
        <f>"           if (PADDR_CNT == 7'd"&amp;A2978&amp;")"</f>
        <v xml:space="preserve">           if (PADDR_CNT == 7'd253)</v>
      </c>
    </row>
    <row r="2984" spans="1:2" x14ac:dyDescent="0.3">
      <c r="B2984" t="str">
        <f>"               sr_paddr_dat["&amp;A2978&amp;"]  &lt;= sr_page_paddr_buf;"</f>
        <v xml:space="preserve">               sr_paddr_dat[253]  &lt;= sr_page_paddr_buf;</v>
      </c>
    </row>
    <row r="2985" spans="1:2" x14ac:dyDescent="0.3">
      <c r="B2985" t="s">
        <v>3</v>
      </c>
    </row>
    <row r="2986" spans="1:2" x14ac:dyDescent="0.3">
      <c r="B2986" t="str">
        <f>"               sr_paddr_dat["&amp;A2978&amp;"]  &lt;= sr_paddr_dat["&amp;A2978&amp;"];"</f>
        <v xml:space="preserve">               sr_paddr_dat[253]  &lt;= sr_paddr_dat[253];</v>
      </c>
    </row>
    <row r="2987" spans="1:2" x14ac:dyDescent="0.3">
      <c r="B2987" t="s">
        <v>4</v>
      </c>
    </row>
    <row r="2988" spans="1:2" x14ac:dyDescent="0.3">
      <c r="B2988" t="s">
        <v>5</v>
      </c>
    </row>
    <row r="2990" spans="1:2" x14ac:dyDescent="0.3">
      <c r="A2990">
        <f>A2978+1</f>
        <v>254</v>
      </c>
      <c r="B2990" t="str">
        <f>"    // Page Address Resister"&amp;A2990</f>
        <v xml:space="preserve">    // Page Address Resister254</v>
      </c>
    </row>
    <row r="2991" spans="1:2" x14ac:dyDescent="0.3">
      <c r="A2991" t="str">
        <f>DEC2HEX(A2990)</f>
        <v>FE</v>
      </c>
      <c r="B2991" t="s">
        <v>0</v>
      </c>
    </row>
    <row r="2992" spans="1:2" x14ac:dyDescent="0.3">
      <c r="B2992" t="s">
        <v>1</v>
      </c>
    </row>
    <row r="2993" spans="1:2" x14ac:dyDescent="0.3">
      <c r="B2993" t="str">
        <f>"            sr_paddr_dat["&amp;A2990&amp;"]   &lt;= 24'h0;"</f>
        <v xml:space="preserve">            sr_paddr_dat[254]   &lt;= 24'h0;</v>
      </c>
    </row>
    <row r="2994" spans="1:2" x14ac:dyDescent="0.3">
      <c r="B2994" t="s">
        <v>2</v>
      </c>
    </row>
    <row r="2995" spans="1:2" x14ac:dyDescent="0.3">
      <c r="B2995" t="str">
        <f>"           if (PADDR_CNT == 7'd"&amp;A2990&amp;")"</f>
        <v xml:space="preserve">           if (PADDR_CNT == 7'd254)</v>
      </c>
    </row>
    <row r="2996" spans="1:2" x14ac:dyDescent="0.3">
      <c r="B2996" t="str">
        <f>"               sr_paddr_dat["&amp;A2990&amp;"]  &lt;= sr_page_paddr_buf;"</f>
        <v xml:space="preserve">               sr_paddr_dat[254]  &lt;= sr_page_paddr_buf;</v>
      </c>
    </row>
    <row r="2997" spans="1:2" x14ac:dyDescent="0.3">
      <c r="B2997" t="s">
        <v>3</v>
      </c>
    </row>
    <row r="2998" spans="1:2" x14ac:dyDescent="0.3">
      <c r="B2998" t="str">
        <f>"               sr_paddr_dat["&amp;A2990&amp;"]  &lt;= sr_paddr_dat["&amp;A2990&amp;"];"</f>
        <v xml:space="preserve">               sr_paddr_dat[254]  &lt;= sr_paddr_dat[254];</v>
      </c>
    </row>
    <row r="2999" spans="1:2" x14ac:dyDescent="0.3">
      <c r="B2999" t="s">
        <v>4</v>
      </c>
    </row>
    <row r="3000" spans="1:2" x14ac:dyDescent="0.3">
      <c r="B3000" t="s">
        <v>5</v>
      </c>
    </row>
    <row r="3002" spans="1:2" x14ac:dyDescent="0.3">
      <c r="A3002">
        <f>A2990+1</f>
        <v>255</v>
      </c>
      <c r="B3002" t="str">
        <f>"    // Page Address Resister"&amp;A3002</f>
        <v xml:space="preserve">    // Page Address Resister255</v>
      </c>
    </row>
    <row r="3003" spans="1:2" x14ac:dyDescent="0.3">
      <c r="A3003" t="str">
        <f>DEC2HEX(A3002)</f>
        <v>FF</v>
      </c>
      <c r="B3003" t="s">
        <v>0</v>
      </c>
    </row>
    <row r="3004" spans="1:2" x14ac:dyDescent="0.3">
      <c r="B3004" t="s">
        <v>1</v>
      </c>
    </row>
    <row r="3005" spans="1:2" x14ac:dyDescent="0.3">
      <c r="B3005" t="str">
        <f>"            sr_paddr_dat["&amp;A3002&amp;"]   &lt;= 24'h0;"</f>
        <v xml:space="preserve">            sr_paddr_dat[255]   &lt;= 24'h0;</v>
      </c>
    </row>
    <row r="3006" spans="1:2" x14ac:dyDescent="0.3">
      <c r="B3006" t="s">
        <v>2</v>
      </c>
    </row>
    <row r="3007" spans="1:2" x14ac:dyDescent="0.3">
      <c r="B3007" t="str">
        <f>"           if (PADDR_CNT == 7'd"&amp;A3002&amp;")"</f>
        <v xml:space="preserve">           if (PADDR_CNT == 7'd255)</v>
      </c>
    </row>
    <row r="3008" spans="1:2" x14ac:dyDescent="0.3">
      <c r="B3008" t="str">
        <f>"               sr_paddr_dat["&amp;A3002&amp;"]  &lt;= sr_page_paddr_buf;"</f>
        <v xml:space="preserve">               sr_paddr_dat[255]  &lt;= sr_page_paddr_buf;</v>
      </c>
    </row>
    <row r="3009" spans="1:2" x14ac:dyDescent="0.3">
      <c r="B3009" t="s">
        <v>3</v>
      </c>
    </row>
    <row r="3010" spans="1:2" x14ac:dyDescent="0.3">
      <c r="B3010" t="str">
        <f>"               sr_paddr_dat["&amp;A3002&amp;"]  &lt;= sr_paddr_dat["&amp;A3002&amp;"];"</f>
        <v xml:space="preserve">               sr_paddr_dat[255]  &lt;= sr_paddr_dat[255];</v>
      </c>
    </row>
    <row r="3011" spans="1:2" x14ac:dyDescent="0.3">
      <c r="B3011" t="s">
        <v>4</v>
      </c>
    </row>
    <row r="3012" spans="1:2" x14ac:dyDescent="0.3">
      <c r="B3012" t="s">
        <v>5</v>
      </c>
    </row>
    <row r="3014" spans="1:2" x14ac:dyDescent="0.3">
      <c r="A3014">
        <f>A3002+1</f>
        <v>256</v>
      </c>
      <c r="B3014" t="str">
        <f>"    // Page Address Resister"&amp;A3014</f>
        <v xml:space="preserve">    // Page Address Resister256</v>
      </c>
    </row>
    <row r="3015" spans="1:2" x14ac:dyDescent="0.3">
      <c r="A3015" t="str">
        <f>DEC2HEX(A3014)</f>
        <v>100</v>
      </c>
      <c r="B3015" t="s">
        <v>0</v>
      </c>
    </row>
    <row r="3016" spans="1:2" x14ac:dyDescent="0.3">
      <c r="B3016" t="s">
        <v>1</v>
      </c>
    </row>
    <row r="3017" spans="1:2" x14ac:dyDescent="0.3">
      <c r="B3017" t="str">
        <f>"            sr_paddr_dat["&amp;A3014&amp;"]   &lt;= 24'h0;"</f>
        <v xml:space="preserve">            sr_paddr_dat[256]   &lt;= 24'h0;</v>
      </c>
    </row>
    <row r="3018" spans="1:2" x14ac:dyDescent="0.3">
      <c r="B3018" t="s">
        <v>2</v>
      </c>
    </row>
    <row r="3019" spans="1:2" x14ac:dyDescent="0.3">
      <c r="B3019" t="str">
        <f>"           if (PADDR_CNT == 7'd"&amp;A3014&amp;")"</f>
        <v xml:space="preserve">           if (PADDR_CNT == 7'd256)</v>
      </c>
    </row>
    <row r="3020" spans="1:2" x14ac:dyDescent="0.3">
      <c r="B3020" t="str">
        <f>"               sr_paddr_dat["&amp;A3014&amp;"]  &lt;= sr_page_paddr_buf;"</f>
        <v xml:space="preserve">               sr_paddr_dat[256]  &lt;= sr_page_paddr_buf;</v>
      </c>
    </row>
    <row r="3021" spans="1:2" x14ac:dyDescent="0.3">
      <c r="B3021" t="s">
        <v>3</v>
      </c>
    </row>
    <row r="3022" spans="1:2" x14ac:dyDescent="0.3">
      <c r="B3022" t="str">
        <f>"               sr_paddr_dat["&amp;A3014&amp;"]  &lt;= sr_paddr_dat["&amp;A3014&amp;"];"</f>
        <v xml:space="preserve">               sr_paddr_dat[256]  &lt;= sr_paddr_dat[256];</v>
      </c>
    </row>
    <row r="3023" spans="1:2" x14ac:dyDescent="0.3">
      <c r="B3023" t="s">
        <v>4</v>
      </c>
    </row>
    <row r="3024" spans="1:2" x14ac:dyDescent="0.3">
      <c r="B3024" t="s">
        <v>5</v>
      </c>
    </row>
    <row r="3026" spans="1:2" x14ac:dyDescent="0.3">
      <c r="A3026">
        <f>A3014+1</f>
        <v>257</v>
      </c>
      <c r="B3026" t="str">
        <f>"    // Page Address Resister"&amp;A3026</f>
        <v xml:space="preserve">    // Page Address Resister257</v>
      </c>
    </row>
    <row r="3027" spans="1:2" x14ac:dyDescent="0.3">
      <c r="A3027" t="str">
        <f>DEC2HEX(A3026)</f>
        <v>101</v>
      </c>
      <c r="B3027" t="s">
        <v>0</v>
      </c>
    </row>
    <row r="3028" spans="1:2" x14ac:dyDescent="0.3">
      <c r="B3028" t="s">
        <v>1</v>
      </c>
    </row>
    <row r="3029" spans="1:2" x14ac:dyDescent="0.3">
      <c r="B3029" t="str">
        <f>"            sr_paddr_dat["&amp;A3026&amp;"]   &lt;= 24'h0;"</f>
        <v xml:space="preserve">            sr_paddr_dat[257]   &lt;= 24'h0;</v>
      </c>
    </row>
    <row r="3030" spans="1:2" x14ac:dyDescent="0.3">
      <c r="B3030" t="s">
        <v>2</v>
      </c>
    </row>
    <row r="3031" spans="1:2" x14ac:dyDescent="0.3">
      <c r="B3031" t="str">
        <f>"           if (PADDR_CNT == 7'd"&amp;A3026&amp;")"</f>
        <v xml:space="preserve">           if (PADDR_CNT == 7'd257)</v>
      </c>
    </row>
    <row r="3032" spans="1:2" x14ac:dyDescent="0.3">
      <c r="B3032" t="str">
        <f>"               sr_paddr_dat["&amp;A3026&amp;"]  &lt;= sr_page_paddr_buf;"</f>
        <v xml:space="preserve">               sr_paddr_dat[257]  &lt;= sr_page_paddr_buf;</v>
      </c>
    </row>
    <row r="3033" spans="1:2" x14ac:dyDescent="0.3">
      <c r="B3033" t="s">
        <v>3</v>
      </c>
    </row>
    <row r="3034" spans="1:2" x14ac:dyDescent="0.3">
      <c r="B3034" t="str">
        <f>"               sr_paddr_dat["&amp;A3026&amp;"]  &lt;= sr_paddr_dat["&amp;A3026&amp;"];"</f>
        <v xml:space="preserve">               sr_paddr_dat[257]  &lt;= sr_paddr_dat[257];</v>
      </c>
    </row>
    <row r="3035" spans="1:2" x14ac:dyDescent="0.3">
      <c r="B3035" t="s">
        <v>4</v>
      </c>
    </row>
    <row r="3036" spans="1:2" x14ac:dyDescent="0.3">
      <c r="B3036" t="s">
        <v>5</v>
      </c>
    </row>
    <row r="3038" spans="1:2" x14ac:dyDescent="0.3">
      <c r="A3038">
        <f>A3026+1</f>
        <v>258</v>
      </c>
      <c r="B3038" t="str">
        <f>"    // Page Address Resister"&amp;A3038</f>
        <v xml:space="preserve">    // Page Address Resister258</v>
      </c>
    </row>
    <row r="3039" spans="1:2" x14ac:dyDescent="0.3">
      <c r="A3039" t="str">
        <f>DEC2HEX(A3038)</f>
        <v>102</v>
      </c>
      <c r="B3039" t="s">
        <v>0</v>
      </c>
    </row>
    <row r="3040" spans="1:2" x14ac:dyDescent="0.3">
      <c r="B3040" t="s">
        <v>1</v>
      </c>
    </row>
    <row r="3041" spans="1:2" x14ac:dyDescent="0.3">
      <c r="B3041" t="str">
        <f>"            sr_paddr_dat["&amp;A3038&amp;"]   &lt;= 24'h0;"</f>
        <v xml:space="preserve">            sr_paddr_dat[258]   &lt;= 24'h0;</v>
      </c>
    </row>
    <row r="3042" spans="1:2" x14ac:dyDescent="0.3">
      <c r="B3042" t="s">
        <v>2</v>
      </c>
    </row>
    <row r="3043" spans="1:2" x14ac:dyDescent="0.3">
      <c r="B3043" t="str">
        <f>"           if (PADDR_CNT == 7'd"&amp;A3038&amp;")"</f>
        <v xml:space="preserve">           if (PADDR_CNT == 7'd258)</v>
      </c>
    </row>
    <row r="3044" spans="1:2" x14ac:dyDescent="0.3">
      <c r="B3044" t="str">
        <f>"               sr_paddr_dat["&amp;A3038&amp;"]  &lt;= sr_page_paddr_buf;"</f>
        <v xml:space="preserve">               sr_paddr_dat[258]  &lt;= sr_page_paddr_buf;</v>
      </c>
    </row>
    <row r="3045" spans="1:2" x14ac:dyDescent="0.3">
      <c r="B3045" t="s">
        <v>3</v>
      </c>
    </row>
    <row r="3046" spans="1:2" x14ac:dyDescent="0.3">
      <c r="B3046" t="str">
        <f>"               sr_paddr_dat["&amp;A3038&amp;"]  &lt;= sr_paddr_dat["&amp;A3038&amp;"];"</f>
        <v xml:space="preserve">               sr_paddr_dat[258]  &lt;= sr_paddr_dat[258];</v>
      </c>
    </row>
    <row r="3047" spans="1:2" x14ac:dyDescent="0.3">
      <c r="B3047" t="s">
        <v>4</v>
      </c>
    </row>
    <row r="3048" spans="1:2" x14ac:dyDescent="0.3">
      <c r="B3048" t="s">
        <v>5</v>
      </c>
    </row>
    <row r="3050" spans="1:2" x14ac:dyDescent="0.3">
      <c r="A3050">
        <f>A3038+1</f>
        <v>259</v>
      </c>
      <c r="B3050" t="str">
        <f>"    // Page Address Resister"&amp;A3050</f>
        <v xml:space="preserve">    // Page Address Resister259</v>
      </c>
    </row>
    <row r="3051" spans="1:2" x14ac:dyDescent="0.3">
      <c r="A3051" t="str">
        <f>DEC2HEX(A3050)</f>
        <v>103</v>
      </c>
      <c r="B3051" t="s">
        <v>0</v>
      </c>
    </row>
    <row r="3052" spans="1:2" x14ac:dyDescent="0.3">
      <c r="B3052" t="s">
        <v>1</v>
      </c>
    </row>
    <row r="3053" spans="1:2" x14ac:dyDescent="0.3">
      <c r="B3053" t="str">
        <f>"            sr_paddr_dat["&amp;A3050&amp;"]   &lt;= 24'h0;"</f>
        <v xml:space="preserve">            sr_paddr_dat[259]   &lt;= 24'h0;</v>
      </c>
    </row>
    <row r="3054" spans="1:2" x14ac:dyDescent="0.3">
      <c r="B3054" t="s">
        <v>2</v>
      </c>
    </row>
    <row r="3055" spans="1:2" x14ac:dyDescent="0.3">
      <c r="B3055" t="str">
        <f>"           if (PADDR_CNT == 7'd"&amp;A3050&amp;")"</f>
        <v xml:space="preserve">           if (PADDR_CNT == 7'd259)</v>
      </c>
    </row>
    <row r="3056" spans="1:2" x14ac:dyDescent="0.3">
      <c r="B3056" t="str">
        <f>"               sr_paddr_dat["&amp;A3050&amp;"]  &lt;= sr_page_paddr_buf;"</f>
        <v xml:space="preserve">               sr_paddr_dat[259]  &lt;= sr_page_paddr_buf;</v>
      </c>
    </row>
    <row r="3057" spans="1:2" x14ac:dyDescent="0.3">
      <c r="B3057" t="s">
        <v>3</v>
      </c>
    </row>
    <row r="3058" spans="1:2" x14ac:dyDescent="0.3">
      <c r="B3058" t="str">
        <f>"               sr_paddr_dat["&amp;A3050&amp;"]  &lt;= sr_paddr_dat["&amp;A3050&amp;"];"</f>
        <v xml:space="preserve">               sr_paddr_dat[259]  &lt;= sr_paddr_dat[259];</v>
      </c>
    </row>
    <row r="3059" spans="1:2" x14ac:dyDescent="0.3">
      <c r="B3059" t="s">
        <v>4</v>
      </c>
    </row>
    <row r="3060" spans="1:2" x14ac:dyDescent="0.3">
      <c r="B3060" t="s">
        <v>5</v>
      </c>
    </row>
    <row r="3062" spans="1:2" x14ac:dyDescent="0.3">
      <c r="A3062">
        <f>A3050+1</f>
        <v>260</v>
      </c>
      <c r="B3062" t="str">
        <f>"    // Page Address Resister"&amp;A3062</f>
        <v xml:space="preserve">    // Page Address Resister260</v>
      </c>
    </row>
    <row r="3063" spans="1:2" x14ac:dyDescent="0.3">
      <c r="A3063" t="str">
        <f>DEC2HEX(A3062)</f>
        <v>104</v>
      </c>
      <c r="B3063" t="s">
        <v>0</v>
      </c>
    </row>
    <row r="3064" spans="1:2" x14ac:dyDescent="0.3">
      <c r="B3064" t="s">
        <v>1</v>
      </c>
    </row>
    <row r="3065" spans="1:2" x14ac:dyDescent="0.3">
      <c r="B3065" t="str">
        <f>"            sr_paddr_dat["&amp;A3062&amp;"]   &lt;= 24'h0;"</f>
        <v xml:space="preserve">            sr_paddr_dat[260]   &lt;= 24'h0;</v>
      </c>
    </row>
    <row r="3066" spans="1:2" x14ac:dyDescent="0.3">
      <c r="B3066" t="s">
        <v>2</v>
      </c>
    </row>
    <row r="3067" spans="1:2" x14ac:dyDescent="0.3">
      <c r="B3067" t="str">
        <f>"           if (PADDR_CNT == 7'd"&amp;A3062&amp;")"</f>
        <v xml:space="preserve">           if (PADDR_CNT == 7'd260)</v>
      </c>
    </row>
    <row r="3068" spans="1:2" x14ac:dyDescent="0.3">
      <c r="B3068" t="str">
        <f>"               sr_paddr_dat["&amp;A3062&amp;"]  &lt;= sr_page_paddr_buf;"</f>
        <v xml:space="preserve">               sr_paddr_dat[260]  &lt;= sr_page_paddr_buf;</v>
      </c>
    </row>
    <row r="3069" spans="1:2" x14ac:dyDescent="0.3">
      <c r="B3069" t="s">
        <v>3</v>
      </c>
    </row>
    <row r="3070" spans="1:2" x14ac:dyDescent="0.3">
      <c r="B3070" t="str">
        <f>"               sr_paddr_dat["&amp;A3062&amp;"]  &lt;= sr_paddr_dat["&amp;A3062&amp;"];"</f>
        <v xml:space="preserve">               sr_paddr_dat[260]  &lt;= sr_paddr_dat[260];</v>
      </c>
    </row>
    <row r="3071" spans="1:2" x14ac:dyDescent="0.3">
      <c r="B3071" t="s">
        <v>4</v>
      </c>
    </row>
    <row r="3072" spans="1:2" x14ac:dyDescent="0.3">
      <c r="B3072" t="s">
        <v>5</v>
      </c>
    </row>
    <row r="3074" spans="1:2" x14ac:dyDescent="0.3">
      <c r="A3074">
        <f>A3062+1</f>
        <v>261</v>
      </c>
      <c r="B3074" t="str">
        <f>"    // Page Address Resister"&amp;A3074</f>
        <v xml:space="preserve">    // Page Address Resister261</v>
      </c>
    </row>
    <row r="3075" spans="1:2" x14ac:dyDescent="0.3">
      <c r="A3075" t="str">
        <f>DEC2HEX(A3074)</f>
        <v>105</v>
      </c>
      <c r="B3075" t="s">
        <v>0</v>
      </c>
    </row>
    <row r="3076" spans="1:2" x14ac:dyDescent="0.3">
      <c r="B3076" t="s">
        <v>1</v>
      </c>
    </row>
    <row r="3077" spans="1:2" x14ac:dyDescent="0.3">
      <c r="B3077" t="str">
        <f>"            sr_paddr_dat["&amp;A3074&amp;"]   &lt;= 24'h0;"</f>
        <v xml:space="preserve">            sr_paddr_dat[261]   &lt;= 24'h0;</v>
      </c>
    </row>
    <row r="3078" spans="1:2" x14ac:dyDescent="0.3">
      <c r="B3078" t="s">
        <v>2</v>
      </c>
    </row>
    <row r="3079" spans="1:2" x14ac:dyDescent="0.3">
      <c r="B3079" t="str">
        <f>"           if (PADDR_CNT == 7'd"&amp;A3074&amp;")"</f>
        <v xml:space="preserve">           if (PADDR_CNT == 7'd261)</v>
      </c>
    </row>
    <row r="3080" spans="1:2" x14ac:dyDescent="0.3">
      <c r="B3080" t="str">
        <f>"               sr_paddr_dat["&amp;A3074&amp;"]  &lt;= sr_page_paddr_buf;"</f>
        <v xml:space="preserve">               sr_paddr_dat[261]  &lt;= sr_page_paddr_buf;</v>
      </c>
    </row>
    <row r="3081" spans="1:2" x14ac:dyDescent="0.3">
      <c r="B3081" t="s">
        <v>3</v>
      </c>
    </row>
    <row r="3082" spans="1:2" x14ac:dyDescent="0.3">
      <c r="B3082" t="str">
        <f>"               sr_paddr_dat["&amp;A3074&amp;"]  &lt;= sr_paddr_dat["&amp;A3074&amp;"];"</f>
        <v xml:space="preserve">               sr_paddr_dat[261]  &lt;= sr_paddr_dat[261];</v>
      </c>
    </row>
    <row r="3083" spans="1:2" x14ac:dyDescent="0.3">
      <c r="B3083" t="s">
        <v>4</v>
      </c>
    </row>
    <row r="3084" spans="1:2" x14ac:dyDescent="0.3">
      <c r="B3084" t="s">
        <v>5</v>
      </c>
    </row>
    <row r="3086" spans="1:2" x14ac:dyDescent="0.3">
      <c r="A3086">
        <f>A3074+1</f>
        <v>262</v>
      </c>
      <c r="B3086" t="str">
        <f>"    // Page Address Resister"&amp;A3086</f>
        <v xml:space="preserve">    // Page Address Resister262</v>
      </c>
    </row>
    <row r="3087" spans="1:2" x14ac:dyDescent="0.3">
      <c r="A3087" t="str">
        <f>DEC2HEX(A3086)</f>
        <v>106</v>
      </c>
      <c r="B3087" t="s">
        <v>0</v>
      </c>
    </row>
    <row r="3088" spans="1:2" x14ac:dyDescent="0.3">
      <c r="B3088" t="s">
        <v>1</v>
      </c>
    </row>
    <row r="3089" spans="1:2" x14ac:dyDescent="0.3">
      <c r="B3089" t="str">
        <f>"            sr_paddr_dat["&amp;A3086&amp;"]   &lt;= 24'h0;"</f>
        <v xml:space="preserve">            sr_paddr_dat[262]   &lt;= 24'h0;</v>
      </c>
    </row>
    <row r="3090" spans="1:2" x14ac:dyDescent="0.3">
      <c r="B3090" t="s">
        <v>2</v>
      </c>
    </row>
    <row r="3091" spans="1:2" x14ac:dyDescent="0.3">
      <c r="B3091" t="str">
        <f>"           if (PADDR_CNT == 7'd"&amp;A3086&amp;")"</f>
        <v xml:space="preserve">           if (PADDR_CNT == 7'd262)</v>
      </c>
    </row>
    <row r="3092" spans="1:2" x14ac:dyDescent="0.3">
      <c r="B3092" t="str">
        <f>"               sr_paddr_dat["&amp;A3086&amp;"]  &lt;= sr_page_paddr_buf;"</f>
        <v xml:space="preserve">               sr_paddr_dat[262]  &lt;= sr_page_paddr_buf;</v>
      </c>
    </row>
    <row r="3093" spans="1:2" x14ac:dyDescent="0.3">
      <c r="B3093" t="s">
        <v>3</v>
      </c>
    </row>
    <row r="3094" spans="1:2" x14ac:dyDescent="0.3">
      <c r="B3094" t="str">
        <f>"               sr_paddr_dat["&amp;A3086&amp;"]  &lt;= sr_paddr_dat["&amp;A3086&amp;"];"</f>
        <v xml:space="preserve">               sr_paddr_dat[262]  &lt;= sr_paddr_dat[262];</v>
      </c>
    </row>
    <row r="3095" spans="1:2" x14ac:dyDescent="0.3">
      <c r="B3095" t="s">
        <v>4</v>
      </c>
    </row>
    <row r="3096" spans="1:2" x14ac:dyDescent="0.3">
      <c r="B3096" t="s">
        <v>5</v>
      </c>
    </row>
    <row r="3098" spans="1:2" x14ac:dyDescent="0.3">
      <c r="A3098">
        <f>A3086+1</f>
        <v>263</v>
      </c>
      <c r="B3098" t="str">
        <f>"    // Page Address Resister"&amp;A3098</f>
        <v xml:space="preserve">    // Page Address Resister263</v>
      </c>
    </row>
    <row r="3099" spans="1:2" x14ac:dyDescent="0.3">
      <c r="A3099" t="str">
        <f>DEC2HEX(A3098)</f>
        <v>107</v>
      </c>
      <c r="B3099" t="s">
        <v>0</v>
      </c>
    </row>
    <row r="3100" spans="1:2" x14ac:dyDescent="0.3">
      <c r="B3100" t="s">
        <v>1</v>
      </c>
    </row>
    <row r="3101" spans="1:2" x14ac:dyDescent="0.3">
      <c r="B3101" t="str">
        <f>"            sr_paddr_dat["&amp;A3098&amp;"]   &lt;= 24'h0;"</f>
        <v xml:space="preserve">            sr_paddr_dat[263]   &lt;= 24'h0;</v>
      </c>
    </row>
    <row r="3102" spans="1:2" x14ac:dyDescent="0.3">
      <c r="B3102" t="s">
        <v>2</v>
      </c>
    </row>
    <row r="3103" spans="1:2" x14ac:dyDescent="0.3">
      <c r="B3103" t="str">
        <f>"           if (PADDR_CNT == 7'd"&amp;A3098&amp;")"</f>
        <v xml:space="preserve">           if (PADDR_CNT == 7'd263)</v>
      </c>
    </row>
    <row r="3104" spans="1:2" x14ac:dyDescent="0.3">
      <c r="B3104" t="str">
        <f>"               sr_paddr_dat["&amp;A3098&amp;"]  &lt;= sr_page_paddr_buf;"</f>
        <v xml:space="preserve">               sr_paddr_dat[263]  &lt;= sr_page_paddr_buf;</v>
      </c>
    </row>
    <row r="3105" spans="1:2" x14ac:dyDescent="0.3">
      <c r="B3105" t="s">
        <v>3</v>
      </c>
    </row>
    <row r="3106" spans="1:2" x14ac:dyDescent="0.3">
      <c r="B3106" t="str">
        <f>"               sr_paddr_dat["&amp;A3098&amp;"]  &lt;= sr_paddr_dat["&amp;A3098&amp;"];"</f>
        <v xml:space="preserve">               sr_paddr_dat[263]  &lt;= sr_paddr_dat[263];</v>
      </c>
    </row>
    <row r="3107" spans="1:2" x14ac:dyDescent="0.3">
      <c r="B3107" t="s">
        <v>4</v>
      </c>
    </row>
    <row r="3108" spans="1:2" x14ac:dyDescent="0.3">
      <c r="B3108" t="s">
        <v>5</v>
      </c>
    </row>
    <row r="3110" spans="1:2" x14ac:dyDescent="0.3">
      <c r="A3110">
        <f>A3098+1</f>
        <v>264</v>
      </c>
      <c r="B3110" t="str">
        <f>"    // Page Address Resister"&amp;A3110</f>
        <v xml:space="preserve">    // Page Address Resister264</v>
      </c>
    </row>
    <row r="3111" spans="1:2" x14ac:dyDescent="0.3">
      <c r="A3111" t="str">
        <f>DEC2HEX(A3110)</f>
        <v>108</v>
      </c>
      <c r="B3111" t="s">
        <v>0</v>
      </c>
    </row>
    <row r="3112" spans="1:2" x14ac:dyDescent="0.3">
      <c r="B3112" t="s">
        <v>1</v>
      </c>
    </row>
    <row r="3113" spans="1:2" x14ac:dyDescent="0.3">
      <c r="B3113" t="str">
        <f>"            sr_paddr_dat["&amp;A3110&amp;"]   &lt;= 24'h0;"</f>
        <v xml:space="preserve">            sr_paddr_dat[264]   &lt;= 24'h0;</v>
      </c>
    </row>
    <row r="3114" spans="1:2" x14ac:dyDescent="0.3">
      <c r="B3114" t="s">
        <v>2</v>
      </c>
    </row>
    <row r="3115" spans="1:2" x14ac:dyDescent="0.3">
      <c r="B3115" t="str">
        <f>"           if (PADDR_CNT == 7'd"&amp;A3110&amp;")"</f>
        <v xml:space="preserve">           if (PADDR_CNT == 7'd264)</v>
      </c>
    </row>
    <row r="3116" spans="1:2" x14ac:dyDescent="0.3">
      <c r="B3116" t="str">
        <f>"               sr_paddr_dat["&amp;A3110&amp;"]  &lt;= sr_page_paddr_buf;"</f>
        <v xml:space="preserve">               sr_paddr_dat[264]  &lt;= sr_page_paddr_buf;</v>
      </c>
    </row>
    <row r="3117" spans="1:2" x14ac:dyDescent="0.3">
      <c r="B3117" t="s">
        <v>3</v>
      </c>
    </row>
    <row r="3118" spans="1:2" x14ac:dyDescent="0.3">
      <c r="B3118" t="str">
        <f>"               sr_paddr_dat["&amp;A3110&amp;"]  &lt;= sr_paddr_dat["&amp;A3110&amp;"];"</f>
        <v xml:space="preserve">               sr_paddr_dat[264]  &lt;= sr_paddr_dat[264];</v>
      </c>
    </row>
    <row r="3119" spans="1:2" x14ac:dyDescent="0.3">
      <c r="B3119" t="s">
        <v>4</v>
      </c>
    </row>
    <row r="3120" spans="1:2" x14ac:dyDescent="0.3">
      <c r="B3120" t="s">
        <v>5</v>
      </c>
    </row>
    <row r="3122" spans="1:2" x14ac:dyDescent="0.3">
      <c r="A3122">
        <f>A3110+1</f>
        <v>265</v>
      </c>
      <c r="B3122" t="str">
        <f>"    // Page Address Resister"&amp;A3122</f>
        <v xml:space="preserve">    // Page Address Resister265</v>
      </c>
    </row>
    <row r="3123" spans="1:2" x14ac:dyDescent="0.3">
      <c r="A3123" t="str">
        <f>DEC2HEX(A3122)</f>
        <v>109</v>
      </c>
      <c r="B3123" t="s">
        <v>0</v>
      </c>
    </row>
    <row r="3124" spans="1:2" x14ac:dyDescent="0.3">
      <c r="B3124" t="s">
        <v>1</v>
      </c>
    </row>
    <row r="3125" spans="1:2" x14ac:dyDescent="0.3">
      <c r="B3125" t="str">
        <f>"            sr_paddr_dat["&amp;A3122&amp;"]   &lt;= 24'h0;"</f>
        <v xml:space="preserve">            sr_paddr_dat[265]   &lt;= 24'h0;</v>
      </c>
    </row>
    <row r="3126" spans="1:2" x14ac:dyDescent="0.3">
      <c r="B3126" t="s">
        <v>2</v>
      </c>
    </row>
    <row r="3127" spans="1:2" x14ac:dyDescent="0.3">
      <c r="B3127" t="str">
        <f>"           if (PADDR_CNT == 7'd"&amp;A3122&amp;")"</f>
        <v xml:space="preserve">           if (PADDR_CNT == 7'd265)</v>
      </c>
    </row>
    <row r="3128" spans="1:2" x14ac:dyDescent="0.3">
      <c r="B3128" t="str">
        <f>"               sr_paddr_dat["&amp;A3122&amp;"]  &lt;= sr_page_paddr_buf;"</f>
        <v xml:space="preserve">               sr_paddr_dat[265]  &lt;= sr_page_paddr_buf;</v>
      </c>
    </row>
    <row r="3129" spans="1:2" x14ac:dyDescent="0.3">
      <c r="B3129" t="s">
        <v>3</v>
      </c>
    </row>
    <row r="3130" spans="1:2" x14ac:dyDescent="0.3">
      <c r="B3130" t="str">
        <f>"               sr_paddr_dat["&amp;A3122&amp;"]  &lt;= sr_paddr_dat["&amp;A3122&amp;"];"</f>
        <v xml:space="preserve">               sr_paddr_dat[265]  &lt;= sr_paddr_dat[265];</v>
      </c>
    </row>
    <row r="3131" spans="1:2" x14ac:dyDescent="0.3">
      <c r="B3131" t="s">
        <v>4</v>
      </c>
    </row>
    <row r="3132" spans="1:2" x14ac:dyDescent="0.3">
      <c r="B3132" t="s">
        <v>5</v>
      </c>
    </row>
    <row r="3134" spans="1:2" x14ac:dyDescent="0.3">
      <c r="A3134">
        <f>A3122+1</f>
        <v>266</v>
      </c>
      <c r="B3134" t="str">
        <f>"    // Page Address Resister"&amp;A3134</f>
        <v xml:space="preserve">    // Page Address Resister266</v>
      </c>
    </row>
    <row r="3135" spans="1:2" x14ac:dyDescent="0.3">
      <c r="A3135" t="str">
        <f>DEC2HEX(A3134)</f>
        <v>10A</v>
      </c>
      <c r="B3135" t="s">
        <v>0</v>
      </c>
    </row>
    <row r="3136" spans="1:2" x14ac:dyDescent="0.3">
      <c r="B3136" t="s">
        <v>1</v>
      </c>
    </row>
    <row r="3137" spans="1:2" x14ac:dyDescent="0.3">
      <c r="B3137" t="str">
        <f>"            sr_paddr_dat["&amp;A3134&amp;"]   &lt;= 24'h0;"</f>
        <v xml:space="preserve">            sr_paddr_dat[266]   &lt;= 24'h0;</v>
      </c>
    </row>
    <row r="3138" spans="1:2" x14ac:dyDescent="0.3">
      <c r="B3138" t="s">
        <v>2</v>
      </c>
    </row>
    <row r="3139" spans="1:2" x14ac:dyDescent="0.3">
      <c r="B3139" t="str">
        <f>"           if (PADDR_CNT == 7'd"&amp;A3134&amp;")"</f>
        <v xml:space="preserve">           if (PADDR_CNT == 7'd266)</v>
      </c>
    </row>
    <row r="3140" spans="1:2" x14ac:dyDescent="0.3">
      <c r="B3140" t="str">
        <f>"               sr_paddr_dat["&amp;A3134&amp;"]  &lt;= sr_page_paddr_buf;"</f>
        <v xml:space="preserve">               sr_paddr_dat[266]  &lt;= sr_page_paddr_buf;</v>
      </c>
    </row>
    <row r="3141" spans="1:2" x14ac:dyDescent="0.3">
      <c r="B3141" t="s">
        <v>3</v>
      </c>
    </row>
    <row r="3142" spans="1:2" x14ac:dyDescent="0.3">
      <c r="B3142" t="str">
        <f>"               sr_paddr_dat["&amp;A3134&amp;"]  &lt;= sr_paddr_dat["&amp;A3134&amp;"];"</f>
        <v xml:space="preserve">               sr_paddr_dat[266]  &lt;= sr_paddr_dat[266];</v>
      </c>
    </row>
    <row r="3143" spans="1:2" x14ac:dyDescent="0.3">
      <c r="B3143" t="s">
        <v>4</v>
      </c>
    </row>
    <row r="3144" spans="1:2" x14ac:dyDescent="0.3">
      <c r="B3144" t="s">
        <v>5</v>
      </c>
    </row>
    <row r="3146" spans="1:2" x14ac:dyDescent="0.3">
      <c r="A3146">
        <f>A3134+1</f>
        <v>267</v>
      </c>
      <c r="B3146" t="str">
        <f>"    // Page Address Resister"&amp;A3146</f>
        <v xml:space="preserve">    // Page Address Resister267</v>
      </c>
    </row>
    <row r="3147" spans="1:2" x14ac:dyDescent="0.3">
      <c r="A3147" t="str">
        <f>DEC2HEX(A3146)</f>
        <v>10B</v>
      </c>
      <c r="B3147" t="s">
        <v>0</v>
      </c>
    </row>
    <row r="3148" spans="1:2" x14ac:dyDescent="0.3">
      <c r="B3148" t="s">
        <v>1</v>
      </c>
    </row>
    <row r="3149" spans="1:2" x14ac:dyDescent="0.3">
      <c r="B3149" t="str">
        <f>"            sr_paddr_dat["&amp;A3146&amp;"]   &lt;= 24'h0;"</f>
        <v xml:space="preserve">            sr_paddr_dat[267]   &lt;= 24'h0;</v>
      </c>
    </row>
    <row r="3150" spans="1:2" x14ac:dyDescent="0.3">
      <c r="B3150" t="s">
        <v>2</v>
      </c>
    </row>
    <row r="3151" spans="1:2" x14ac:dyDescent="0.3">
      <c r="B3151" t="str">
        <f>"           if (PADDR_CNT == 7'd"&amp;A3146&amp;")"</f>
        <v xml:space="preserve">           if (PADDR_CNT == 7'd267)</v>
      </c>
    </row>
    <row r="3152" spans="1:2" x14ac:dyDescent="0.3">
      <c r="B3152" t="str">
        <f>"               sr_paddr_dat["&amp;A3146&amp;"]  &lt;= sr_page_paddr_buf;"</f>
        <v xml:space="preserve">               sr_paddr_dat[267]  &lt;= sr_page_paddr_buf;</v>
      </c>
    </row>
    <row r="3153" spans="1:2" x14ac:dyDescent="0.3">
      <c r="B3153" t="s">
        <v>3</v>
      </c>
    </row>
    <row r="3154" spans="1:2" x14ac:dyDescent="0.3">
      <c r="B3154" t="str">
        <f>"               sr_paddr_dat["&amp;A3146&amp;"]  &lt;= sr_paddr_dat["&amp;A3146&amp;"];"</f>
        <v xml:space="preserve">               sr_paddr_dat[267]  &lt;= sr_paddr_dat[267];</v>
      </c>
    </row>
    <row r="3155" spans="1:2" x14ac:dyDescent="0.3">
      <c r="B3155" t="s">
        <v>4</v>
      </c>
    </row>
    <row r="3156" spans="1:2" x14ac:dyDescent="0.3">
      <c r="B3156" t="s">
        <v>5</v>
      </c>
    </row>
    <row r="3158" spans="1:2" x14ac:dyDescent="0.3">
      <c r="A3158">
        <f>A3146+1</f>
        <v>268</v>
      </c>
      <c r="B3158" t="str">
        <f>"    // Page Address Resister"&amp;A3158</f>
        <v xml:space="preserve">    // Page Address Resister268</v>
      </c>
    </row>
    <row r="3159" spans="1:2" x14ac:dyDescent="0.3">
      <c r="A3159" t="str">
        <f>DEC2HEX(A3158)</f>
        <v>10C</v>
      </c>
      <c r="B3159" t="s">
        <v>0</v>
      </c>
    </row>
    <row r="3160" spans="1:2" x14ac:dyDescent="0.3">
      <c r="B3160" t="s">
        <v>1</v>
      </c>
    </row>
    <row r="3161" spans="1:2" x14ac:dyDescent="0.3">
      <c r="B3161" t="str">
        <f>"            sr_paddr_dat["&amp;A3158&amp;"]   &lt;= 24'h0;"</f>
        <v xml:space="preserve">            sr_paddr_dat[268]   &lt;= 24'h0;</v>
      </c>
    </row>
    <row r="3162" spans="1:2" x14ac:dyDescent="0.3">
      <c r="B3162" t="s">
        <v>2</v>
      </c>
    </row>
    <row r="3163" spans="1:2" x14ac:dyDescent="0.3">
      <c r="B3163" t="str">
        <f>"           if (PADDR_CNT == 7'd"&amp;A3158&amp;")"</f>
        <v xml:space="preserve">           if (PADDR_CNT == 7'd268)</v>
      </c>
    </row>
    <row r="3164" spans="1:2" x14ac:dyDescent="0.3">
      <c r="B3164" t="str">
        <f>"               sr_paddr_dat["&amp;A3158&amp;"]  &lt;= sr_page_paddr_buf;"</f>
        <v xml:space="preserve">               sr_paddr_dat[268]  &lt;= sr_page_paddr_buf;</v>
      </c>
    </row>
    <row r="3165" spans="1:2" x14ac:dyDescent="0.3">
      <c r="B3165" t="s">
        <v>3</v>
      </c>
    </row>
    <row r="3166" spans="1:2" x14ac:dyDescent="0.3">
      <c r="B3166" t="str">
        <f>"               sr_paddr_dat["&amp;A3158&amp;"]  &lt;= sr_paddr_dat["&amp;A3158&amp;"];"</f>
        <v xml:space="preserve">               sr_paddr_dat[268]  &lt;= sr_paddr_dat[268];</v>
      </c>
    </row>
    <row r="3167" spans="1:2" x14ac:dyDescent="0.3">
      <c r="B3167" t="s">
        <v>4</v>
      </c>
    </row>
    <row r="3168" spans="1:2" x14ac:dyDescent="0.3">
      <c r="B3168" t="s">
        <v>5</v>
      </c>
    </row>
    <row r="3170" spans="1:2" x14ac:dyDescent="0.3">
      <c r="A3170">
        <f>A3158+1</f>
        <v>269</v>
      </c>
      <c r="B3170" t="str">
        <f>"    // Page Address Resister"&amp;A3170</f>
        <v xml:space="preserve">    // Page Address Resister269</v>
      </c>
    </row>
    <row r="3171" spans="1:2" x14ac:dyDescent="0.3">
      <c r="A3171" t="str">
        <f>DEC2HEX(A3170)</f>
        <v>10D</v>
      </c>
      <c r="B3171" t="s">
        <v>0</v>
      </c>
    </row>
    <row r="3172" spans="1:2" x14ac:dyDescent="0.3">
      <c r="B3172" t="s">
        <v>1</v>
      </c>
    </row>
    <row r="3173" spans="1:2" x14ac:dyDescent="0.3">
      <c r="B3173" t="str">
        <f>"            sr_paddr_dat["&amp;A3170&amp;"]   &lt;= 24'h0;"</f>
        <v xml:space="preserve">            sr_paddr_dat[269]   &lt;= 24'h0;</v>
      </c>
    </row>
    <row r="3174" spans="1:2" x14ac:dyDescent="0.3">
      <c r="B3174" t="s">
        <v>2</v>
      </c>
    </row>
    <row r="3175" spans="1:2" x14ac:dyDescent="0.3">
      <c r="B3175" t="str">
        <f>"           if (PADDR_CNT == 7'd"&amp;A3170&amp;")"</f>
        <v xml:space="preserve">           if (PADDR_CNT == 7'd269)</v>
      </c>
    </row>
    <row r="3176" spans="1:2" x14ac:dyDescent="0.3">
      <c r="B3176" t="str">
        <f>"               sr_paddr_dat["&amp;A3170&amp;"]  &lt;= sr_page_paddr_buf;"</f>
        <v xml:space="preserve">               sr_paddr_dat[269]  &lt;= sr_page_paddr_buf;</v>
      </c>
    </row>
    <row r="3177" spans="1:2" x14ac:dyDescent="0.3">
      <c r="B3177" t="s">
        <v>3</v>
      </c>
    </row>
    <row r="3178" spans="1:2" x14ac:dyDescent="0.3">
      <c r="B3178" t="str">
        <f>"               sr_paddr_dat["&amp;A3170&amp;"]  &lt;= sr_paddr_dat["&amp;A3170&amp;"];"</f>
        <v xml:space="preserve">               sr_paddr_dat[269]  &lt;= sr_paddr_dat[269];</v>
      </c>
    </row>
    <row r="3179" spans="1:2" x14ac:dyDescent="0.3">
      <c r="B3179" t="s">
        <v>4</v>
      </c>
    </row>
    <row r="3180" spans="1:2" x14ac:dyDescent="0.3">
      <c r="B3180" t="s">
        <v>5</v>
      </c>
    </row>
    <row r="3182" spans="1:2" x14ac:dyDescent="0.3">
      <c r="A3182">
        <f>A3170+1</f>
        <v>270</v>
      </c>
      <c r="B3182" t="str">
        <f>"    // Page Address Resister"&amp;A3182</f>
        <v xml:space="preserve">    // Page Address Resister270</v>
      </c>
    </row>
    <row r="3183" spans="1:2" x14ac:dyDescent="0.3">
      <c r="A3183" t="str">
        <f>DEC2HEX(A3182)</f>
        <v>10E</v>
      </c>
      <c r="B3183" t="s">
        <v>0</v>
      </c>
    </row>
    <row r="3184" spans="1:2" x14ac:dyDescent="0.3">
      <c r="B3184" t="s">
        <v>1</v>
      </c>
    </row>
    <row r="3185" spans="1:2" x14ac:dyDescent="0.3">
      <c r="B3185" t="str">
        <f>"            sr_paddr_dat["&amp;A3182&amp;"]   &lt;= 24'h0;"</f>
        <v xml:space="preserve">            sr_paddr_dat[270]   &lt;= 24'h0;</v>
      </c>
    </row>
    <row r="3186" spans="1:2" x14ac:dyDescent="0.3">
      <c r="B3186" t="s">
        <v>2</v>
      </c>
    </row>
    <row r="3187" spans="1:2" x14ac:dyDescent="0.3">
      <c r="B3187" t="str">
        <f>"           if (PADDR_CNT == 7'd"&amp;A3182&amp;")"</f>
        <v xml:space="preserve">           if (PADDR_CNT == 7'd270)</v>
      </c>
    </row>
    <row r="3188" spans="1:2" x14ac:dyDescent="0.3">
      <c r="B3188" t="str">
        <f>"               sr_paddr_dat["&amp;A3182&amp;"]  &lt;= sr_page_paddr_buf;"</f>
        <v xml:space="preserve">               sr_paddr_dat[270]  &lt;= sr_page_paddr_buf;</v>
      </c>
    </row>
    <row r="3189" spans="1:2" x14ac:dyDescent="0.3">
      <c r="B3189" t="s">
        <v>3</v>
      </c>
    </row>
    <row r="3190" spans="1:2" x14ac:dyDescent="0.3">
      <c r="B3190" t="str">
        <f>"               sr_paddr_dat["&amp;A3182&amp;"]  &lt;= sr_paddr_dat["&amp;A3182&amp;"];"</f>
        <v xml:space="preserve">               sr_paddr_dat[270]  &lt;= sr_paddr_dat[270];</v>
      </c>
    </row>
    <row r="3191" spans="1:2" x14ac:dyDescent="0.3">
      <c r="B3191" t="s">
        <v>4</v>
      </c>
    </row>
    <row r="3192" spans="1:2" x14ac:dyDescent="0.3">
      <c r="B3192" t="s">
        <v>5</v>
      </c>
    </row>
    <row r="3194" spans="1:2" x14ac:dyDescent="0.3">
      <c r="A3194">
        <f>A3182+1</f>
        <v>271</v>
      </c>
      <c r="B3194" t="str">
        <f>"    // Page Address Resister"&amp;A3194</f>
        <v xml:space="preserve">    // Page Address Resister271</v>
      </c>
    </row>
    <row r="3195" spans="1:2" x14ac:dyDescent="0.3">
      <c r="A3195" t="str">
        <f>DEC2HEX(A3194)</f>
        <v>10F</v>
      </c>
      <c r="B3195" t="s">
        <v>0</v>
      </c>
    </row>
    <row r="3196" spans="1:2" x14ac:dyDescent="0.3">
      <c r="B3196" t="s">
        <v>1</v>
      </c>
    </row>
    <row r="3197" spans="1:2" x14ac:dyDescent="0.3">
      <c r="B3197" t="str">
        <f>"            sr_paddr_dat["&amp;A3194&amp;"]   &lt;= 24'h0;"</f>
        <v xml:space="preserve">            sr_paddr_dat[271]   &lt;= 24'h0;</v>
      </c>
    </row>
    <row r="3198" spans="1:2" x14ac:dyDescent="0.3">
      <c r="B3198" t="s">
        <v>2</v>
      </c>
    </row>
    <row r="3199" spans="1:2" x14ac:dyDescent="0.3">
      <c r="B3199" t="str">
        <f>"           if (PADDR_CNT == 7'd"&amp;A3194&amp;")"</f>
        <v xml:space="preserve">           if (PADDR_CNT == 7'd271)</v>
      </c>
    </row>
    <row r="3200" spans="1:2" x14ac:dyDescent="0.3">
      <c r="B3200" t="str">
        <f>"               sr_paddr_dat["&amp;A3194&amp;"]  &lt;= sr_page_paddr_buf;"</f>
        <v xml:space="preserve">               sr_paddr_dat[271]  &lt;= sr_page_paddr_buf;</v>
      </c>
    </row>
    <row r="3201" spans="1:2" x14ac:dyDescent="0.3">
      <c r="B3201" t="s">
        <v>3</v>
      </c>
    </row>
    <row r="3202" spans="1:2" x14ac:dyDescent="0.3">
      <c r="B3202" t="str">
        <f>"               sr_paddr_dat["&amp;A3194&amp;"]  &lt;= sr_paddr_dat["&amp;A3194&amp;"];"</f>
        <v xml:space="preserve">               sr_paddr_dat[271]  &lt;= sr_paddr_dat[271];</v>
      </c>
    </row>
    <row r="3203" spans="1:2" x14ac:dyDescent="0.3">
      <c r="B3203" t="s">
        <v>4</v>
      </c>
    </row>
    <row r="3204" spans="1:2" x14ac:dyDescent="0.3">
      <c r="B3204" t="s">
        <v>5</v>
      </c>
    </row>
    <row r="3206" spans="1:2" x14ac:dyDescent="0.3">
      <c r="A3206">
        <f>A3194+1</f>
        <v>272</v>
      </c>
      <c r="B3206" t="str">
        <f>"    // Page Address Resister"&amp;A3206</f>
        <v xml:space="preserve">    // Page Address Resister272</v>
      </c>
    </row>
    <row r="3207" spans="1:2" x14ac:dyDescent="0.3">
      <c r="A3207" t="str">
        <f>DEC2HEX(A3206)</f>
        <v>110</v>
      </c>
      <c r="B3207" t="s">
        <v>0</v>
      </c>
    </row>
    <row r="3208" spans="1:2" x14ac:dyDescent="0.3">
      <c r="B3208" t="s">
        <v>1</v>
      </c>
    </row>
    <row r="3209" spans="1:2" x14ac:dyDescent="0.3">
      <c r="B3209" t="str">
        <f>"            sr_paddr_dat["&amp;A3206&amp;"]   &lt;= 24'h0;"</f>
        <v xml:space="preserve">            sr_paddr_dat[272]   &lt;= 24'h0;</v>
      </c>
    </row>
    <row r="3210" spans="1:2" x14ac:dyDescent="0.3">
      <c r="B3210" t="s">
        <v>2</v>
      </c>
    </row>
    <row r="3211" spans="1:2" x14ac:dyDescent="0.3">
      <c r="B3211" t="str">
        <f>"           if (PADDR_CNT == 7'd"&amp;A3206&amp;")"</f>
        <v xml:space="preserve">           if (PADDR_CNT == 7'd272)</v>
      </c>
    </row>
    <row r="3212" spans="1:2" x14ac:dyDescent="0.3">
      <c r="B3212" t="str">
        <f>"               sr_paddr_dat["&amp;A3206&amp;"]  &lt;= sr_page_paddr_buf;"</f>
        <v xml:space="preserve">               sr_paddr_dat[272]  &lt;= sr_page_paddr_buf;</v>
      </c>
    </row>
    <row r="3213" spans="1:2" x14ac:dyDescent="0.3">
      <c r="B3213" t="s">
        <v>3</v>
      </c>
    </row>
    <row r="3214" spans="1:2" x14ac:dyDescent="0.3">
      <c r="B3214" t="str">
        <f>"               sr_paddr_dat["&amp;A3206&amp;"]  &lt;= sr_paddr_dat["&amp;A3206&amp;"];"</f>
        <v xml:space="preserve">               sr_paddr_dat[272]  &lt;= sr_paddr_dat[272];</v>
      </c>
    </row>
    <row r="3215" spans="1:2" x14ac:dyDescent="0.3">
      <c r="B3215" t="s">
        <v>4</v>
      </c>
    </row>
    <row r="3216" spans="1:2" x14ac:dyDescent="0.3">
      <c r="B3216" t="s">
        <v>5</v>
      </c>
    </row>
    <row r="3218" spans="1:2" x14ac:dyDescent="0.3">
      <c r="A3218">
        <f>A3206+1</f>
        <v>273</v>
      </c>
      <c r="B3218" t="str">
        <f>"    // Page Address Resister"&amp;A3218</f>
        <v xml:space="preserve">    // Page Address Resister273</v>
      </c>
    </row>
    <row r="3219" spans="1:2" x14ac:dyDescent="0.3">
      <c r="A3219" t="str">
        <f>DEC2HEX(A3218)</f>
        <v>111</v>
      </c>
      <c r="B3219" t="s">
        <v>0</v>
      </c>
    </row>
    <row r="3220" spans="1:2" x14ac:dyDescent="0.3">
      <c r="B3220" t="s">
        <v>1</v>
      </c>
    </row>
    <row r="3221" spans="1:2" x14ac:dyDescent="0.3">
      <c r="B3221" t="str">
        <f>"            sr_paddr_dat["&amp;A3218&amp;"]   &lt;= 24'h0;"</f>
        <v xml:space="preserve">            sr_paddr_dat[273]   &lt;= 24'h0;</v>
      </c>
    </row>
    <row r="3222" spans="1:2" x14ac:dyDescent="0.3">
      <c r="B3222" t="s">
        <v>2</v>
      </c>
    </row>
    <row r="3223" spans="1:2" x14ac:dyDescent="0.3">
      <c r="B3223" t="str">
        <f>"           if (PADDR_CNT == 7'd"&amp;A3218&amp;")"</f>
        <v xml:space="preserve">           if (PADDR_CNT == 7'd273)</v>
      </c>
    </row>
    <row r="3224" spans="1:2" x14ac:dyDescent="0.3">
      <c r="B3224" t="str">
        <f>"               sr_paddr_dat["&amp;A3218&amp;"]  &lt;= sr_page_paddr_buf;"</f>
        <v xml:space="preserve">               sr_paddr_dat[273]  &lt;= sr_page_paddr_buf;</v>
      </c>
    </row>
    <row r="3225" spans="1:2" x14ac:dyDescent="0.3">
      <c r="B3225" t="s">
        <v>3</v>
      </c>
    </row>
    <row r="3226" spans="1:2" x14ac:dyDescent="0.3">
      <c r="B3226" t="str">
        <f>"               sr_paddr_dat["&amp;A3218&amp;"]  &lt;= sr_paddr_dat["&amp;A3218&amp;"];"</f>
        <v xml:space="preserve">               sr_paddr_dat[273]  &lt;= sr_paddr_dat[273];</v>
      </c>
    </row>
    <row r="3227" spans="1:2" x14ac:dyDescent="0.3">
      <c r="B3227" t="s">
        <v>4</v>
      </c>
    </row>
    <row r="3228" spans="1:2" x14ac:dyDescent="0.3">
      <c r="B3228" t="s">
        <v>5</v>
      </c>
    </row>
    <row r="3230" spans="1:2" x14ac:dyDescent="0.3">
      <c r="A3230">
        <f>A3218+1</f>
        <v>274</v>
      </c>
      <c r="B3230" t="str">
        <f>"    // Page Address Resister"&amp;A3230</f>
        <v xml:space="preserve">    // Page Address Resister274</v>
      </c>
    </row>
    <row r="3231" spans="1:2" x14ac:dyDescent="0.3">
      <c r="A3231" t="str">
        <f>DEC2HEX(A3230)</f>
        <v>112</v>
      </c>
      <c r="B3231" t="s">
        <v>0</v>
      </c>
    </row>
    <row r="3232" spans="1:2" x14ac:dyDescent="0.3">
      <c r="B3232" t="s">
        <v>1</v>
      </c>
    </row>
    <row r="3233" spans="1:2" x14ac:dyDescent="0.3">
      <c r="B3233" t="str">
        <f>"            sr_paddr_dat["&amp;A3230&amp;"]   &lt;= 24'h0;"</f>
        <v xml:space="preserve">            sr_paddr_dat[274]   &lt;= 24'h0;</v>
      </c>
    </row>
    <row r="3234" spans="1:2" x14ac:dyDescent="0.3">
      <c r="B3234" t="s">
        <v>2</v>
      </c>
    </row>
    <row r="3235" spans="1:2" x14ac:dyDescent="0.3">
      <c r="B3235" t="str">
        <f>"           if (PADDR_CNT == 7'd"&amp;A3230&amp;")"</f>
        <v xml:space="preserve">           if (PADDR_CNT == 7'd274)</v>
      </c>
    </row>
    <row r="3236" spans="1:2" x14ac:dyDescent="0.3">
      <c r="B3236" t="str">
        <f>"               sr_paddr_dat["&amp;A3230&amp;"]  &lt;= sr_page_paddr_buf;"</f>
        <v xml:space="preserve">               sr_paddr_dat[274]  &lt;= sr_page_paddr_buf;</v>
      </c>
    </row>
    <row r="3237" spans="1:2" x14ac:dyDescent="0.3">
      <c r="B3237" t="s">
        <v>3</v>
      </c>
    </row>
    <row r="3238" spans="1:2" x14ac:dyDescent="0.3">
      <c r="B3238" t="str">
        <f>"               sr_paddr_dat["&amp;A3230&amp;"]  &lt;= sr_paddr_dat["&amp;A3230&amp;"];"</f>
        <v xml:space="preserve">               sr_paddr_dat[274]  &lt;= sr_paddr_dat[274];</v>
      </c>
    </row>
    <row r="3239" spans="1:2" x14ac:dyDescent="0.3">
      <c r="B3239" t="s">
        <v>4</v>
      </c>
    </row>
    <row r="3240" spans="1:2" x14ac:dyDescent="0.3">
      <c r="B3240" t="s">
        <v>5</v>
      </c>
    </row>
    <row r="3242" spans="1:2" x14ac:dyDescent="0.3">
      <c r="A3242">
        <f>A3230+1</f>
        <v>275</v>
      </c>
      <c r="B3242" t="str">
        <f>"    // Page Address Resister"&amp;A3242</f>
        <v xml:space="preserve">    // Page Address Resister275</v>
      </c>
    </row>
    <row r="3243" spans="1:2" x14ac:dyDescent="0.3">
      <c r="A3243" t="str">
        <f>DEC2HEX(A3242)</f>
        <v>113</v>
      </c>
      <c r="B3243" t="s">
        <v>0</v>
      </c>
    </row>
    <row r="3244" spans="1:2" x14ac:dyDescent="0.3">
      <c r="B3244" t="s">
        <v>1</v>
      </c>
    </row>
    <row r="3245" spans="1:2" x14ac:dyDescent="0.3">
      <c r="B3245" t="str">
        <f>"            sr_paddr_dat["&amp;A3242&amp;"]   &lt;= 24'h0;"</f>
        <v xml:space="preserve">            sr_paddr_dat[275]   &lt;= 24'h0;</v>
      </c>
    </row>
    <row r="3246" spans="1:2" x14ac:dyDescent="0.3">
      <c r="B3246" t="s">
        <v>2</v>
      </c>
    </row>
    <row r="3247" spans="1:2" x14ac:dyDescent="0.3">
      <c r="B3247" t="str">
        <f>"           if (PADDR_CNT == 7'd"&amp;A3242&amp;")"</f>
        <v xml:space="preserve">           if (PADDR_CNT == 7'd275)</v>
      </c>
    </row>
    <row r="3248" spans="1:2" x14ac:dyDescent="0.3">
      <c r="B3248" t="str">
        <f>"               sr_paddr_dat["&amp;A3242&amp;"]  &lt;= sr_page_paddr_buf;"</f>
        <v xml:space="preserve">               sr_paddr_dat[275]  &lt;= sr_page_paddr_buf;</v>
      </c>
    </row>
    <row r="3249" spans="1:2" x14ac:dyDescent="0.3">
      <c r="B3249" t="s">
        <v>3</v>
      </c>
    </row>
    <row r="3250" spans="1:2" x14ac:dyDescent="0.3">
      <c r="B3250" t="str">
        <f>"               sr_paddr_dat["&amp;A3242&amp;"]  &lt;= sr_paddr_dat["&amp;A3242&amp;"];"</f>
        <v xml:space="preserve">               sr_paddr_dat[275]  &lt;= sr_paddr_dat[275];</v>
      </c>
    </row>
    <row r="3251" spans="1:2" x14ac:dyDescent="0.3">
      <c r="B3251" t="s">
        <v>4</v>
      </c>
    </row>
    <row r="3252" spans="1:2" x14ac:dyDescent="0.3">
      <c r="B3252" t="s">
        <v>5</v>
      </c>
    </row>
    <row r="3254" spans="1:2" x14ac:dyDescent="0.3">
      <c r="A3254">
        <f>A3242+1</f>
        <v>276</v>
      </c>
      <c r="B3254" t="str">
        <f>"    // Page Address Resister"&amp;A3254</f>
        <v xml:space="preserve">    // Page Address Resister276</v>
      </c>
    </row>
    <row r="3255" spans="1:2" x14ac:dyDescent="0.3">
      <c r="A3255" t="str">
        <f>DEC2HEX(A3254)</f>
        <v>114</v>
      </c>
      <c r="B3255" t="s">
        <v>0</v>
      </c>
    </row>
    <row r="3256" spans="1:2" x14ac:dyDescent="0.3">
      <c r="B3256" t="s">
        <v>1</v>
      </c>
    </row>
    <row r="3257" spans="1:2" x14ac:dyDescent="0.3">
      <c r="B3257" t="str">
        <f>"            sr_paddr_dat["&amp;A3254&amp;"]   &lt;= 24'h0;"</f>
        <v xml:space="preserve">            sr_paddr_dat[276]   &lt;= 24'h0;</v>
      </c>
    </row>
    <row r="3258" spans="1:2" x14ac:dyDescent="0.3">
      <c r="B3258" t="s">
        <v>2</v>
      </c>
    </row>
    <row r="3259" spans="1:2" x14ac:dyDescent="0.3">
      <c r="B3259" t="str">
        <f>"           if (PADDR_CNT == 7'd"&amp;A3254&amp;")"</f>
        <v xml:space="preserve">           if (PADDR_CNT == 7'd276)</v>
      </c>
    </row>
    <row r="3260" spans="1:2" x14ac:dyDescent="0.3">
      <c r="B3260" t="str">
        <f>"               sr_paddr_dat["&amp;A3254&amp;"]  &lt;= sr_page_paddr_buf;"</f>
        <v xml:space="preserve">               sr_paddr_dat[276]  &lt;= sr_page_paddr_buf;</v>
      </c>
    </row>
    <row r="3261" spans="1:2" x14ac:dyDescent="0.3">
      <c r="B3261" t="s">
        <v>3</v>
      </c>
    </row>
    <row r="3262" spans="1:2" x14ac:dyDescent="0.3">
      <c r="B3262" t="str">
        <f>"               sr_paddr_dat["&amp;A3254&amp;"]  &lt;= sr_paddr_dat["&amp;A3254&amp;"];"</f>
        <v xml:space="preserve">               sr_paddr_dat[276]  &lt;= sr_paddr_dat[276];</v>
      </c>
    </row>
    <row r="3263" spans="1:2" x14ac:dyDescent="0.3">
      <c r="B3263" t="s">
        <v>4</v>
      </c>
    </row>
    <row r="3264" spans="1:2" x14ac:dyDescent="0.3">
      <c r="B3264" t="s">
        <v>5</v>
      </c>
    </row>
    <row r="3266" spans="1:2" x14ac:dyDescent="0.3">
      <c r="A3266">
        <f>A3254+1</f>
        <v>277</v>
      </c>
      <c r="B3266" t="str">
        <f>"    // Page Address Resister"&amp;A3266</f>
        <v xml:space="preserve">    // Page Address Resister277</v>
      </c>
    </row>
    <row r="3267" spans="1:2" x14ac:dyDescent="0.3">
      <c r="A3267" t="str">
        <f>DEC2HEX(A3266)</f>
        <v>115</v>
      </c>
      <c r="B3267" t="s">
        <v>0</v>
      </c>
    </row>
    <row r="3268" spans="1:2" x14ac:dyDescent="0.3">
      <c r="B3268" t="s">
        <v>1</v>
      </c>
    </row>
    <row r="3269" spans="1:2" x14ac:dyDescent="0.3">
      <c r="B3269" t="str">
        <f>"            sr_paddr_dat["&amp;A3266&amp;"]   &lt;= 24'h0;"</f>
        <v xml:space="preserve">            sr_paddr_dat[277]   &lt;= 24'h0;</v>
      </c>
    </row>
    <row r="3270" spans="1:2" x14ac:dyDescent="0.3">
      <c r="B3270" t="s">
        <v>2</v>
      </c>
    </row>
    <row r="3271" spans="1:2" x14ac:dyDescent="0.3">
      <c r="B3271" t="str">
        <f>"           if (PADDR_CNT == 7'd"&amp;A3266&amp;")"</f>
        <v xml:space="preserve">           if (PADDR_CNT == 7'd277)</v>
      </c>
    </row>
    <row r="3272" spans="1:2" x14ac:dyDescent="0.3">
      <c r="B3272" t="str">
        <f>"               sr_paddr_dat["&amp;A3266&amp;"]  &lt;= sr_page_paddr_buf;"</f>
        <v xml:space="preserve">               sr_paddr_dat[277]  &lt;= sr_page_paddr_buf;</v>
      </c>
    </row>
    <row r="3273" spans="1:2" x14ac:dyDescent="0.3">
      <c r="B3273" t="s">
        <v>3</v>
      </c>
    </row>
    <row r="3274" spans="1:2" x14ac:dyDescent="0.3">
      <c r="B3274" t="str">
        <f>"               sr_paddr_dat["&amp;A3266&amp;"]  &lt;= sr_paddr_dat["&amp;A3266&amp;"];"</f>
        <v xml:space="preserve">               sr_paddr_dat[277]  &lt;= sr_paddr_dat[277];</v>
      </c>
    </row>
    <row r="3275" spans="1:2" x14ac:dyDescent="0.3">
      <c r="B3275" t="s">
        <v>4</v>
      </c>
    </row>
    <row r="3276" spans="1:2" x14ac:dyDescent="0.3">
      <c r="B3276" t="s">
        <v>5</v>
      </c>
    </row>
    <row r="3278" spans="1:2" x14ac:dyDescent="0.3">
      <c r="A3278">
        <f>A3266+1</f>
        <v>278</v>
      </c>
      <c r="B3278" t="str">
        <f>"    // Page Address Resister"&amp;A3278</f>
        <v xml:space="preserve">    // Page Address Resister278</v>
      </c>
    </row>
    <row r="3279" spans="1:2" x14ac:dyDescent="0.3">
      <c r="A3279" t="str">
        <f>DEC2HEX(A3278)</f>
        <v>116</v>
      </c>
      <c r="B3279" t="s">
        <v>0</v>
      </c>
    </row>
    <row r="3280" spans="1:2" x14ac:dyDescent="0.3">
      <c r="B3280" t="s">
        <v>1</v>
      </c>
    </row>
    <row r="3281" spans="1:2" x14ac:dyDescent="0.3">
      <c r="B3281" t="str">
        <f>"            sr_paddr_dat["&amp;A3278&amp;"]   &lt;= 24'h0;"</f>
        <v xml:space="preserve">            sr_paddr_dat[278]   &lt;= 24'h0;</v>
      </c>
    </row>
    <row r="3282" spans="1:2" x14ac:dyDescent="0.3">
      <c r="B3282" t="s">
        <v>2</v>
      </c>
    </row>
    <row r="3283" spans="1:2" x14ac:dyDescent="0.3">
      <c r="B3283" t="str">
        <f>"           if (PADDR_CNT == 7'd"&amp;A3278&amp;")"</f>
        <v xml:space="preserve">           if (PADDR_CNT == 7'd278)</v>
      </c>
    </row>
    <row r="3284" spans="1:2" x14ac:dyDescent="0.3">
      <c r="B3284" t="str">
        <f>"               sr_paddr_dat["&amp;A3278&amp;"]  &lt;= sr_page_paddr_buf;"</f>
        <v xml:space="preserve">               sr_paddr_dat[278]  &lt;= sr_page_paddr_buf;</v>
      </c>
    </row>
    <row r="3285" spans="1:2" x14ac:dyDescent="0.3">
      <c r="B3285" t="s">
        <v>3</v>
      </c>
    </row>
    <row r="3286" spans="1:2" x14ac:dyDescent="0.3">
      <c r="B3286" t="str">
        <f>"               sr_paddr_dat["&amp;A3278&amp;"]  &lt;= sr_paddr_dat["&amp;A3278&amp;"];"</f>
        <v xml:space="preserve">               sr_paddr_dat[278]  &lt;= sr_paddr_dat[278];</v>
      </c>
    </row>
    <row r="3287" spans="1:2" x14ac:dyDescent="0.3">
      <c r="B3287" t="s">
        <v>4</v>
      </c>
    </row>
    <row r="3288" spans="1:2" x14ac:dyDescent="0.3">
      <c r="B3288" t="s">
        <v>5</v>
      </c>
    </row>
    <row r="3290" spans="1:2" x14ac:dyDescent="0.3">
      <c r="A3290">
        <f>A3278+1</f>
        <v>279</v>
      </c>
      <c r="B3290" t="str">
        <f>"    // Page Address Resister"&amp;A3290</f>
        <v xml:space="preserve">    // Page Address Resister279</v>
      </c>
    </row>
    <row r="3291" spans="1:2" x14ac:dyDescent="0.3">
      <c r="A3291" t="str">
        <f>DEC2HEX(A3290)</f>
        <v>117</v>
      </c>
      <c r="B3291" t="s">
        <v>0</v>
      </c>
    </row>
    <row r="3292" spans="1:2" x14ac:dyDescent="0.3">
      <c r="B3292" t="s">
        <v>1</v>
      </c>
    </row>
    <row r="3293" spans="1:2" x14ac:dyDescent="0.3">
      <c r="B3293" t="str">
        <f>"            sr_paddr_dat["&amp;A3290&amp;"]   &lt;= 24'h0;"</f>
        <v xml:space="preserve">            sr_paddr_dat[279]   &lt;= 24'h0;</v>
      </c>
    </row>
    <row r="3294" spans="1:2" x14ac:dyDescent="0.3">
      <c r="B3294" t="s">
        <v>2</v>
      </c>
    </row>
    <row r="3295" spans="1:2" x14ac:dyDescent="0.3">
      <c r="B3295" t="str">
        <f>"           if (PADDR_CNT == 7'd"&amp;A3290&amp;")"</f>
        <v xml:space="preserve">           if (PADDR_CNT == 7'd279)</v>
      </c>
    </row>
    <row r="3296" spans="1:2" x14ac:dyDescent="0.3">
      <c r="B3296" t="str">
        <f>"               sr_paddr_dat["&amp;A3290&amp;"]  &lt;= sr_page_paddr_buf;"</f>
        <v xml:space="preserve">               sr_paddr_dat[279]  &lt;= sr_page_paddr_buf;</v>
      </c>
    </row>
    <row r="3297" spans="1:2" x14ac:dyDescent="0.3">
      <c r="B3297" t="s">
        <v>3</v>
      </c>
    </row>
    <row r="3298" spans="1:2" x14ac:dyDescent="0.3">
      <c r="B3298" t="str">
        <f>"               sr_paddr_dat["&amp;A3290&amp;"]  &lt;= sr_paddr_dat["&amp;A3290&amp;"];"</f>
        <v xml:space="preserve">               sr_paddr_dat[279]  &lt;= sr_paddr_dat[279];</v>
      </c>
    </row>
    <row r="3299" spans="1:2" x14ac:dyDescent="0.3">
      <c r="B3299" t="s">
        <v>4</v>
      </c>
    </row>
    <row r="3300" spans="1:2" x14ac:dyDescent="0.3">
      <c r="B3300" t="s">
        <v>5</v>
      </c>
    </row>
    <row r="3302" spans="1:2" x14ac:dyDescent="0.3">
      <c r="A3302">
        <f>A3290+1</f>
        <v>280</v>
      </c>
      <c r="B3302" t="str">
        <f>"    // Page Address Resister"&amp;A3302</f>
        <v xml:space="preserve">    // Page Address Resister280</v>
      </c>
    </row>
    <row r="3303" spans="1:2" x14ac:dyDescent="0.3">
      <c r="A3303" t="str">
        <f>DEC2HEX(A3302)</f>
        <v>118</v>
      </c>
      <c r="B3303" t="s">
        <v>0</v>
      </c>
    </row>
    <row r="3304" spans="1:2" x14ac:dyDescent="0.3">
      <c r="B3304" t="s">
        <v>1</v>
      </c>
    </row>
    <row r="3305" spans="1:2" x14ac:dyDescent="0.3">
      <c r="B3305" t="str">
        <f>"            sr_paddr_dat["&amp;A3302&amp;"]   &lt;= 24'h0;"</f>
        <v xml:space="preserve">            sr_paddr_dat[280]   &lt;= 24'h0;</v>
      </c>
    </row>
    <row r="3306" spans="1:2" x14ac:dyDescent="0.3">
      <c r="B3306" t="s">
        <v>2</v>
      </c>
    </row>
    <row r="3307" spans="1:2" x14ac:dyDescent="0.3">
      <c r="B3307" t="str">
        <f>"           if (PADDR_CNT == 7'd"&amp;A3302&amp;")"</f>
        <v xml:space="preserve">           if (PADDR_CNT == 7'd280)</v>
      </c>
    </row>
    <row r="3308" spans="1:2" x14ac:dyDescent="0.3">
      <c r="B3308" t="str">
        <f>"               sr_paddr_dat["&amp;A3302&amp;"]  &lt;= sr_page_paddr_buf;"</f>
        <v xml:space="preserve">               sr_paddr_dat[280]  &lt;= sr_page_paddr_buf;</v>
      </c>
    </row>
    <row r="3309" spans="1:2" x14ac:dyDescent="0.3">
      <c r="B3309" t="s">
        <v>3</v>
      </c>
    </row>
    <row r="3310" spans="1:2" x14ac:dyDescent="0.3">
      <c r="B3310" t="str">
        <f>"               sr_paddr_dat["&amp;A3302&amp;"]  &lt;= sr_paddr_dat["&amp;A3302&amp;"];"</f>
        <v xml:space="preserve">               sr_paddr_dat[280]  &lt;= sr_paddr_dat[280];</v>
      </c>
    </row>
    <row r="3311" spans="1:2" x14ac:dyDescent="0.3">
      <c r="B3311" t="s">
        <v>4</v>
      </c>
    </row>
    <row r="3312" spans="1:2" x14ac:dyDescent="0.3">
      <c r="B3312" t="s">
        <v>5</v>
      </c>
    </row>
    <row r="3314" spans="1:2" x14ac:dyDescent="0.3">
      <c r="A3314">
        <f>A3302+1</f>
        <v>281</v>
      </c>
      <c r="B3314" t="str">
        <f>"    // Page Address Resister"&amp;A3314</f>
        <v xml:space="preserve">    // Page Address Resister281</v>
      </c>
    </row>
    <row r="3315" spans="1:2" x14ac:dyDescent="0.3">
      <c r="A3315" t="str">
        <f>DEC2HEX(A3314)</f>
        <v>119</v>
      </c>
      <c r="B3315" t="s">
        <v>0</v>
      </c>
    </row>
    <row r="3316" spans="1:2" x14ac:dyDescent="0.3">
      <c r="B3316" t="s">
        <v>1</v>
      </c>
    </row>
    <row r="3317" spans="1:2" x14ac:dyDescent="0.3">
      <c r="B3317" t="str">
        <f>"            sr_paddr_dat["&amp;A3314&amp;"]   &lt;= 24'h0;"</f>
        <v xml:space="preserve">            sr_paddr_dat[281]   &lt;= 24'h0;</v>
      </c>
    </row>
    <row r="3318" spans="1:2" x14ac:dyDescent="0.3">
      <c r="B3318" t="s">
        <v>2</v>
      </c>
    </row>
    <row r="3319" spans="1:2" x14ac:dyDescent="0.3">
      <c r="B3319" t="str">
        <f>"           if (PADDR_CNT == 7'd"&amp;A3314&amp;")"</f>
        <v xml:space="preserve">           if (PADDR_CNT == 7'd281)</v>
      </c>
    </row>
    <row r="3320" spans="1:2" x14ac:dyDescent="0.3">
      <c r="B3320" t="str">
        <f>"               sr_paddr_dat["&amp;A3314&amp;"]  &lt;= sr_page_paddr_buf;"</f>
        <v xml:space="preserve">               sr_paddr_dat[281]  &lt;= sr_page_paddr_buf;</v>
      </c>
    </row>
    <row r="3321" spans="1:2" x14ac:dyDescent="0.3">
      <c r="B3321" t="s">
        <v>3</v>
      </c>
    </row>
    <row r="3322" spans="1:2" x14ac:dyDescent="0.3">
      <c r="B3322" t="str">
        <f>"               sr_paddr_dat["&amp;A3314&amp;"]  &lt;= sr_paddr_dat["&amp;A3314&amp;"];"</f>
        <v xml:space="preserve">               sr_paddr_dat[281]  &lt;= sr_paddr_dat[281];</v>
      </c>
    </row>
    <row r="3323" spans="1:2" x14ac:dyDescent="0.3">
      <c r="B3323" t="s">
        <v>4</v>
      </c>
    </row>
    <row r="3324" spans="1:2" x14ac:dyDescent="0.3">
      <c r="B3324" t="s">
        <v>5</v>
      </c>
    </row>
    <row r="3326" spans="1:2" x14ac:dyDescent="0.3">
      <c r="A3326">
        <f>A3314+1</f>
        <v>282</v>
      </c>
      <c r="B3326" t="str">
        <f>"    // Page Address Resister"&amp;A3326</f>
        <v xml:space="preserve">    // Page Address Resister282</v>
      </c>
    </row>
    <row r="3327" spans="1:2" x14ac:dyDescent="0.3">
      <c r="A3327" t="str">
        <f>DEC2HEX(A3326)</f>
        <v>11A</v>
      </c>
      <c r="B3327" t="s">
        <v>0</v>
      </c>
    </row>
    <row r="3328" spans="1:2" x14ac:dyDescent="0.3">
      <c r="B3328" t="s">
        <v>1</v>
      </c>
    </row>
    <row r="3329" spans="1:2" x14ac:dyDescent="0.3">
      <c r="B3329" t="str">
        <f>"            sr_paddr_dat["&amp;A3326&amp;"]   &lt;= 24'h0;"</f>
        <v xml:space="preserve">            sr_paddr_dat[282]   &lt;= 24'h0;</v>
      </c>
    </row>
    <row r="3330" spans="1:2" x14ac:dyDescent="0.3">
      <c r="B3330" t="s">
        <v>2</v>
      </c>
    </row>
    <row r="3331" spans="1:2" x14ac:dyDescent="0.3">
      <c r="B3331" t="str">
        <f>"           if (PADDR_CNT == 7'd"&amp;A3326&amp;")"</f>
        <v xml:space="preserve">           if (PADDR_CNT == 7'd282)</v>
      </c>
    </row>
    <row r="3332" spans="1:2" x14ac:dyDescent="0.3">
      <c r="B3332" t="str">
        <f>"               sr_paddr_dat["&amp;A3326&amp;"]  &lt;= sr_page_paddr_buf;"</f>
        <v xml:space="preserve">               sr_paddr_dat[282]  &lt;= sr_page_paddr_buf;</v>
      </c>
    </row>
    <row r="3333" spans="1:2" x14ac:dyDescent="0.3">
      <c r="B3333" t="s">
        <v>3</v>
      </c>
    </row>
    <row r="3334" spans="1:2" x14ac:dyDescent="0.3">
      <c r="B3334" t="str">
        <f>"               sr_paddr_dat["&amp;A3326&amp;"]  &lt;= sr_paddr_dat["&amp;A3326&amp;"];"</f>
        <v xml:space="preserve">               sr_paddr_dat[282]  &lt;= sr_paddr_dat[282];</v>
      </c>
    </row>
    <row r="3335" spans="1:2" x14ac:dyDescent="0.3">
      <c r="B3335" t="s">
        <v>4</v>
      </c>
    </row>
    <row r="3336" spans="1:2" x14ac:dyDescent="0.3">
      <c r="B3336" t="s">
        <v>5</v>
      </c>
    </row>
    <row r="3338" spans="1:2" x14ac:dyDescent="0.3">
      <c r="A3338">
        <f>A3326+1</f>
        <v>283</v>
      </c>
      <c r="B3338" t="str">
        <f>"    // Page Address Resister"&amp;A3338</f>
        <v xml:space="preserve">    // Page Address Resister283</v>
      </c>
    </row>
    <row r="3339" spans="1:2" x14ac:dyDescent="0.3">
      <c r="A3339" t="str">
        <f>DEC2HEX(A3338)</f>
        <v>11B</v>
      </c>
      <c r="B3339" t="s">
        <v>0</v>
      </c>
    </row>
    <row r="3340" spans="1:2" x14ac:dyDescent="0.3">
      <c r="B3340" t="s">
        <v>1</v>
      </c>
    </row>
    <row r="3341" spans="1:2" x14ac:dyDescent="0.3">
      <c r="B3341" t="str">
        <f>"            sr_paddr_dat["&amp;A3338&amp;"]   &lt;= 24'h0;"</f>
        <v xml:space="preserve">            sr_paddr_dat[283]   &lt;= 24'h0;</v>
      </c>
    </row>
    <row r="3342" spans="1:2" x14ac:dyDescent="0.3">
      <c r="B3342" t="s">
        <v>2</v>
      </c>
    </row>
    <row r="3343" spans="1:2" x14ac:dyDescent="0.3">
      <c r="B3343" t="str">
        <f>"           if (PADDR_CNT == 7'd"&amp;A3338&amp;")"</f>
        <v xml:space="preserve">           if (PADDR_CNT == 7'd283)</v>
      </c>
    </row>
    <row r="3344" spans="1:2" x14ac:dyDescent="0.3">
      <c r="B3344" t="str">
        <f>"               sr_paddr_dat["&amp;A3338&amp;"]  &lt;= sr_page_paddr_buf;"</f>
        <v xml:space="preserve">               sr_paddr_dat[283]  &lt;= sr_page_paddr_buf;</v>
      </c>
    </row>
    <row r="3345" spans="1:2" x14ac:dyDescent="0.3">
      <c r="B3345" t="s">
        <v>3</v>
      </c>
    </row>
    <row r="3346" spans="1:2" x14ac:dyDescent="0.3">
      <c r="B3346" t="str">
        <f>"               sr_paddr_dat["&amp;A3338&amp;"]  &lt;= sr_paddr_dat["&amp;A3338&amp;"];"</f>
        <v xml:space="preserve">               sr_paddr_dat[283]  &lt;= sr_paddr_dat[283];</v>
      </c>
    </row>
    <row r="3347" spans="1:2" x14ac:dyDescent="0.3">
      <c r="B3347" t="s">
        <v>4</v>
      </c>
    </row>
    <row r="3348" spans="1:2" x14ac:dyDescent="0.3">
      <c r="B3348" t="s">
        <v>5</v>
      </c>
    </row>
    <row r="3350" spans="1:2" x14ac:dyDescent="0.3">
      <c r="A3350">
        <f>A3338+1</f>
        <v>284</v>
      </c>
      <c r="B3350" t="str">
        <f>"    // Page Address Resister"&amp;A3350</f>
        <v xml:space="preserve">    // Page Address Resister284</v>
      </c>
    </row>
    <row r="3351" spans="1:2" x14ac:dyDescent="0.3">
      <c r="A3351" t="str">
        <f>DEC2HEX(A3350)</f>
        <v>11C</v>
      </c>
      <c r="B3351" t="s">
        <v>0</v>
      </c>
    </row>
    <row r="3352" spans="1:2" x14ac:dyDescent="0.3">
      <c r="B3352" t="s">
        <v>1</v>
      </c>
    </row>
    <row r="3353" spans="1:2" x14ac:dyDescent="0.3">
      <c r="B3353" t="str">
        <f>"            sr_paddr_dat["&amp;A3350&amp;"]   &lt;= 24'h0;"</f>
        <v xml:space="preserve">            sr_paddr_dat[284]   &lt;= 24'h0;</v>
      </c>
    </row>
    <row r="3354" spans="1:2" x14ac:dyDescent="0.3">
      <c r="B3354" t="s">
        <v>2</v>
      </c>
    </row>
    <row r="3355" spans="1:2" x14ac:dyDescent="0.3">
      <c r="B3355" t="str">
        <f>"           if (PADDR_CNT == 7'd"&amp;A3350&amp;")"</f>
        <v xml:space="preserve">           if (PADDR_CNT == 7'd284)</v>
      </c>
    </row>
    <row r="3356" spans="1:2" x14ac:dyDescent="0.3">
      <c r="B3356" t="str">
        <f>"               sr_paddr_dat["&amp;A3350&amp;"]  &lt;= sr_page_paddr_buf;"</f>
        <v xml:space="preserve">               sr_paddr_dat[284]  &lt;= sr_page_paddr_buf;</v>
      </c>
    </row>
    <row r="3357" spans="1:2" x14ac:dyDescent="0.3">
      <c r="B3357" t="s">
        <v>3</v>
      </c>
    </row>
    <row r="3358" spans="1:2" x14ac:dyDescent="0.3">
      <c r="B3358" t="str">
        <f>"               sr_paddr_dat["&amp;A3350&amp;"]  &lt;= sr_paddr_dat["&amp;A3350&amp;"];"</f>
        <v xml:space="preserve">               sr_paddr_dat[284]  &lt;= sr_paddr_dat[284];</v>
      </c>
    </row>
    <row r="3359" spans="1:2" x14ac:dyDescent="0.3">
      <c r="B3359" t="s">
        <v>4</v>
      </c>
    </row>
    <row r="3360" spans="1:2" x14ac:dyDescent="0.3">
      <c r="B3360" t="s">
        <v>5</v>
      </c>
    </row>
    <row r="3362" spans="1:2" x14ac:dyDescent="0.3">
      <c r="A3362">
        <f>A3350+1</f>
        <v>285</v>
      </c>
      <c r="B3362" t="str">
        <f>"    // Page Address Resister"&amp;A3362</f>
        <v xml:space="preserve">    // Page Address Resister285</v>
      </c>
    </row>
    <row r="3363" spans="1:2" x14ac:dyDescent="0.3">
      <c r="A3363" t="str">
        <f>DEC2HEX(A3362)</f>
        <v>11D</v>
      </c>
      <c r="B3363" t="s">
        <v>0</v>
      </c>
    </row>
    <row r="3364" spans="1:2" x14ac:dyDescent="0.3">
      <c r="B3364" t="s">
        <v>1</v>
      </c>
    </row>
    <row r="3365" spans="1:2" x14ac:dyDescent="0.3">
      <c r="B3365" t="str">
        <f>"            sr_paddr_dat["&amp;A3362&amp;"]   &lt;= 24'h0;"</f>
        <v xml:space="preserve">            sr_paddr_dat[285]   &lt;= 24'h0;</v>
      </c>
    </row>
    <row r="3366" spans="1:2" x14ac:dyDescent="0.3">
      <c r="B3366" t="s">
        <v>2</v>
      </c>
    </row>
    <row r="3367" spans="1:2" x14ac:dyDescent="0.3">
      <c r="B3367" t="str">
        <f>"           if (PADDR_CNT == 7'd"&amp;A3362&amp;")"</f>
        <v xml:space="preserve">           if (PADDR_CNT == 7'd285)</v>
      </c>
    </row>
    <row r="3368" spans="1:2" x14ac:dyDescent="0.3">
      <c r="B3368" t="str">
        <f>"               sr_paddr_dat["&amp;A3362&amp;"]  &lt;= sr_page_paddr_buf;"</f>
        <v xml:space="preserve">               sr_paddr_dat[285]  &lt;= sr_page_paddr_buf;</v>
      </c>
    </row>
    <row r="3369" spans="1:2" x14ac:dyDescent="0.3">
      <c r="B3369" t="s">
        <v>3</v>
      </c>
    </row>
    <row r="3370" spans="1:2" x14ac:dyDescent="0.3">
      <c r="B3370" t="str">
        <f>"               sr_paddr_dat["&amp;A3362&amp;"]  &lt;= sr_paddr_dat["&amp;A3362&amp;"];"</f>
        <v xml:space="preserve">               sr_paddr_dat[285]  &lt;= sr_paddr_dat[285];</v>
      </c>
    </row>
    <row r="3371" spans="1:2" x14ac:dyDescent="0.3">
      <c r="B3371" t="s">
        <v>4</v>
      </c>
    </row>
    <row r="3372" spans="1:2" x14ac:dyDescent="0.3">
      <c r="B3372" t="s">
        <v>5</v>
      </c>
    </row>
    <row r="3374" spans="1:2" x14ac:dyDescent="0.3">
      <c r="A3374">
        <f>A3362+1</f>
        <v>286</v>
      </c>
      <c r="B3374" t="str">
        <f>"    // Page Address Resister"&amp;A3374</f>
        <v xml:space="preserve">    // Page Address Resister286</v>
      </c>
    </row>
    <row r="3375" spans="1:2" x14ac:dyDescent="0.3">
      <c r="A3375" t="str">
        <f>DEC2HEX(A3374)</f>
        <v>11E</v>
      </c>
      <c r="B3375" t="s">
        <v>0</v>
      </c>
    </row>
    <row r="3376" spans="1:2" x14ac:dyDescent="0.3">
      <c r="B3376" t="s">
        <v>1</v>
      </c>
    </row>
    <row r="3377" spans="1:2" x14ac:dyDescent="0.3">
      <c r="B3377" t="str">
        <f>"            sr_paddr_dat["&amp;A3374&amp;"]   &lt;= 24'h0;"</f>
        <v xml:space="preserve">            sr_paddr_dat[286]   &lt;= 24'h0;</v>
      </c>
    </row>
    <row r="3378" spans="1:2" x14ac:dyDescent="0.3">
      <c r="B3378" t="s">
        <v>2</v>
      </c>
    </row>
    <row r="3379" spans="1:2" x14ac:dyDescent="0.3">
      <c r="B3379" t="str">
        <f>"           if (PADDR_CNT == 7'd"&amp;A3374&amp;")"</f>
        <v xml:space="preserve">           if (PADDR_CNT == 7'd286)</v>
      </c>
    </row>
    <row r="3380" spans="1:2" x14ac:dyDescent="0.3">
      <c r="B3380" t="str">
        <f>"               sr_paddr_dat["&amp;A3374&amp;"]  &lt;= sr_page_paddr_buf;"</f>
        <v xml:space="preserve">               sr_paddr_dat[286]  &lt;= sr_page_paddr_buf;</v>
      </c>
    </row>
    <row r="3381" spans="1:2" x14ac:dyDescent="0.3">
      <c r="B3381" t="s">
        <v>3</v>
      </c>
    </row>
    <row r="3382" spans="1:2" x14ac:dyDescent="0.3">
      <c r="B3382" t="str">
        <f>"               sr_paddr_dat["&amp;A3374&amp;"]  &lt;= sr_paddr_dat["&amp;A3374&amp;"];"</f>
        <v xml:space="preserve">               sr_paddr_dat[286]  &lt;= sr_paddr_dat[286];</v>
      </c>
    </row>
    <row r="3383" spans="1:2" x14ac:dyDescent="0.3">
      <c r="B3383" t="s">
        <v>4</v>
      </c>
    </row>
    <row r="3384" spans="1:2" x14ac:dyDescent="0.3">
      <c r="B3384" t="s">
        <v>5</v>
      </c>
    </row>
    <row r="3386" spans="1:2" x14ac:dyDescent="0.3">
      <c r="A3386">
        <f>A3374+1</f>
        <v>287</v>
      </c>
      <c r="B3386" t="str">
        <f>"    // Page Address Resister"&amp;A3386</f>
        <v xml:space="preserve">    // Page Address Resister287</v>
      </c>
    </row>
    <row r="3387" spans="1:2" x14ac:dyDescent="0.3">
      <c r="A3387" t="str">
        <f>DEC2HEX(A3386)</f>
        <v>11F</v>
      </c>
      <c r="B3387" t="s">
        <v>0</v>
      </c>
    </row>
    <row r="3388" spans="1:2" x14ac:dyDescent="0.3">
      <c r="B3388" t="s">
        <v>1</v>
      </c>
    </row>
    <row r="3389" spans="1:2" x14ac:dyDescent="0.3">
      <c r="B3389" t="str">
        <f>"            sr_paddr_dat["&amp;A3386&amp;"]   &lt;= 24'h0;"</f>
        <v xml:space="preserve">            sr_paddr_dat[287]   &lt;= 24'h0;</v>
      </c>
    </row>
    <row r="3390" spans="1:2" x14ac:dyDescent="0.3">
      <c r="B3390" t="s">
        <v>2</v>
      </c>
    </row>
    <row r="3391" spans="1:2" x14ac:dyDescent="0.3">
      <c r="B3391" t="str">
        <f>"           if (PADDR_CNT == 7'd"&amp;A3386&amp;")"</f>
        <v xml:space="preserve">           if (PADDR_CNT == 7'd287)</v>
      </c>
    </row>
    <row r="3392" spans="1:2" x14ac:dyDescent="0.3">
      <c r="B3392" t="str">
        <f>"               sr_paddr_dat["&amp;A3386&amp;"]  &lt;= sr_page_paddr_buf;"</f>
        <v xml:space="preserve">               sr_paddr_dat[287]  &lt;= sr_page_paddr_buf;</v>
      </c>
    </row>
    <row r="3393" spans="1:2" x14ac:dyDescent="0.3">
      <c r="B3393" t="s">
        <v>3</v>
      </c>
    </row>
    <row r="3394" spans="1:2" x14ac:dyDescent="0.3">
      <c r="B3394" t="str">
        <f>"               sr_paddr_dat["&amp;A3386&amp;"]  &lt;= sr_paddr_dat["&amp;A3386&amp;"];"</f>
        <v xml:space="preserve">               sr_paddr_dat[287]  &lt;= sr_paddr_dat[287];</v>
      </c>
    </row>
    <row r="3395" spans="1:2" x14ac:dyDescent="0.3">
      <c r="B3395" t="s">
        <v>4</v>
      </c>
    </row>
    <row r="3396" spans="1:2" x14ac:dyDescent="0.3">
      <c r="B3396" t="s">
        <v>5</v>
      </c>
    </row>
    <row r="3398" spans="1:2" x14ac:dyDescent="0.3">
      <c r="A3398">
        <f>A3386+1</f>
        <v>288</v>
      </c>
      <c r="B3398" t="str">
        <f>"    // Page Address Resister"&amp;A3398</f>
        <v xml:space="preserve">    // Page Address Resister288</v>
      </c>
    </row>
    <row r="3399" spans="1:2" x14ac:dyDescent="0.3">
      <c r="A3399" t="str">
        <f>DEC2HEX(A3398)</f>
        <v>120</v>
      </c>
      <c r="B3399" t="s">
        <v>0</v>
      </c>
    </row>
    <row r="3400" spans="1:2" x14ac:dyDescent="0.3">
      <c r="B3400" t="s">
        <v>1</v>
      </c>
    </row>
    <row r="3401" spans="1:2" x14ac:dyDescent="0.3">
      <c r="B3401" t="str">
        <f>"            sr_paddr_dat["&amp;A3398&amp;"]   &lt;= 24'h0;"</f>
        <v xml:space="preserve">            sr_paddr_dat[288]   &lt;= 24'h0;</v>
      </c>
    </row>
    <row r="3402" spans="1:2" x14ac:dyDescent="0.3">
      <c r="B3402" t="s">
        <v>2</v>
      </c>
    </row>
    <row r="3403" spans="1:2" x14ac:dyDescent="0.3">
      <c r="B3403" t="str">
        <f>"           if (PADDR_CNT == 7'd"&amp;A3398&amp;")"</f>
        <v xml:space="preserve">           if (PADDR_CNT == 7'd288)</v>
      </c>
    </row>
    <row r="3404" spans="1:2" x14ac:dyDescent="0.3">
      <c r="B3404" t="str">
        <f>"               sr_paddr_dat["&amp;A3398&amp;"]  &lt;= sr_page_paddr_buf;"</f>
        <v xml:space="preserve">               sr_paddr_dat[288]  &lt;= sr_page_paddr_buf;</v>
      </c>
    </row>
    <row r="3405" spans="1:2" x14ac:dyDescent="0.3">
      <c r="B3405" t="s">
        <v>3</v>
      </c>
    </row>
    <row r="3406" spans="1:2" x14ac:dyDescent="0.3">
      <c r="B3406" t="str">
        <f>"               sr_paddr_dat["&amp;A3398&amp;"]  &lt;= sr_paddr_dat["&amp;A3398&amp;"];"</f>
        <v xml:space="preserve">               sr_paddr_dat[288]  &lt;= sr_paddr_dat[288];</v>
      </c>
    </row>
    <row r="3407" spans="1:2" x14ac:dyDescent="0.3">
      <c r="B3407" t="s">
        <v>4</v>
      </c>
    </row>
    <row r="3408" spans="1:2" x14ac:dyDescent="0.3">
      <c r="B3408" t="s">
        <v>5</v>
      </c>
    </row>
    <row r="3410" spans="1:2" x14ac:dyDescent="0.3">
      <c r="A3410">
        <f>A3398+1</f>
        <v>289</v>
      </c>
      <c r="B3410" t="str">
        <f>"    // Page Address Resister"&amp;A3410</f>
        <v xml:space="preserve">    // Page Address Resister289</v>
      </c>
    </row>
    <row r="3411" spans="1:2" x14ac:dyDescent="0.3">
      <c r="A3411" t="str">
        <f>DEC2HEX(A3410)</f>
        <v>121</v>
      </c>
      <c r="B3411" t="s">
        <v>0</v>
      </c>
    </row>
    <row r="3412" spans="1:2" x14ac:dyDescent="0.3">
      <c r="B3412" t="s">
        <v>1</v>
      </c>
    </row>
    <row r="3413" spans="1:2" x14ac:dyDescent="0.3">
      <c r="B3413" t="str">
        <f>"            sr_paddr_dat["&amp;A3410&amp;"]   &lt;= 24'h0;"</f>
        <v xml:space="preserve">            sr_paddr_dat[289]   &lt;= 24'h0;</v>
      </c>
    </row>
    <row r="3414" spans="1:2" x14ac:dyDescent="0.3">
      <c r="B3414" t="s">
        <v>2</v>
      </c>
    </row>
    <row r="3415" spans="1:2" x14ac:dyDescent="0.3">
      <c r="B3415" t="str">
        <f>"           if (PADDR_CNT == 7'd"&amp;A3410&amp;")"</f>
        <v xml:space="preserve">           if (PADDR_CNT == 7'd289)</v>
      </c>
    </row>
    <row r="3416" spans="1:2" x14ac:dyDescent="0.3">
      <c r="B3416" t="str">
        <f>"               sr_paddr_dat["&amp;A3410&amp;"]  &lt;= sr_page_paddr_buf;"</f>
        <v xml:space="preserve">               sr_paddr_dat[289]  &lt;= sr_page_paddr_buf;</v>
      </c>
    </row>
    <row r="3417" spans="1:2" x14ac:dyDescent="0.3">
      <c r="B3417" t="s">
        <v>3</v>
      </c>
    </row>
    <row r="3418" spans="1:2" x14ac:dyDescent="0.3">
      <c r="B3418" t="str">
        <f>"               sr_paddr_dat["&amp;A3410&amp;"]  &lt;= sr_paddr_dat["&amp;A3410&amp;"];"</f>
        <v xml:space="preserve">               sr_paddr_dat[289]  &lt;= sr_paddr_dat[289];</v>
      </c>
    </row>
    <row r="3419" spans="1:2" x14ac:dyDescent="0.3">
      <c r="B3419" t="s">
        <v>4</v>
      </c>
    </row>
    <row r="3420" spans="1:2" x14ac:dyDescent="0.3">
      <c r="B3420" t="s">
        <v>5</v>
      </c>
    </row>
    <row r="3422" spans="1:2" x14ac:dyDescent="0.3">
      <c r="A3422">
        <f>A3410+1</f>
        <v>290</v>
      </c>
      <c r="B3422" t="str">
        <f>"    // Page Address Resister"&amp;A3422</f>
        <v xml:space="preserve">    // Page Address Resister290</v>
      </c>
    </row>
    <row r="3423" spans="1:2" x14ac:dyDescent="0.3">
      <c r="A3423" t="str">
        <f>DEC2HEX(A3422)</f>
        <v>122</v>
      </c>
      <c r="B3423" t="s">
        <v>0</v>
      </c>
    </row>
    <row r="3424" spans="1:2" x14ac:dyDescent="0.3">
      <c r="B3424" t="s">
        <v>1</v>
      </c>
    </row>
    <row r="3425" spans="1:2" x14ac:dyDescent="0.3">
      <c r="B3425" t="str">
        <f>"            sr_paddr_dat["&amp;A3422&amp;"]   &lt;= 24'h0;"</f>
        <v xml:space="preserve">            sr_paddr_dat[290]   &lt;= 24'h0;</v>
      </c>
    </row>
    <row r="3426" spans="1:2" x14ac:dyDescent="0.3">
      <c r="B3426" t="s">
        <v>2</v>
      </c>
    </row>
    <row r="3427" spans="1:2" x14ac:dyDescent="0.3">
      <c r="B3427" t="str">
        <f>"           if (PADDR_CNT == 7'd"&amp;A3422&amp;")"</f>
        <v xml:space="preserve">           if (PADDR_CNT == 7'd290)</v>
      </c>
    </row>
    <row r="3428" spans="1:2" x14ac:dyDescent="0.3">
      <c r="B3428" t="str">
        <f>"               sr_paddr_dat["&amp;A3422&amp;"]  &lt;= sr_page_paddr_buf;"</f>
        <v xml:space="preserve">               sr_paddr_dat[290]  &lt;= sr_page_paddr_buf;</v>
      </c>
    </row>
    <row r="3429" spans="1:2" x14ac:dyDescent="0.3">
      <c r="B3429" t="s">
        <v>3</v>
      </c>
    </row>
    <row r="3430" spans="1:2" x14ac:dyDescent="0.3">
      <c r="B3430" t="str">
        <f>"               sr_paddr_dat["&amp;A3422&amp;"]  &lt;= sr_paddr_dat["&amp;A3422&amp;"];"</f>
        <v xml:space="preserve">               sr_paddr_dat[290]  &lt;= sr_paddr_dat[290];</v>
      </c>
    </row>
    <row r="3431" spans="1:2" x14ac:dyDescent="0.3">
      <c r="B3431" t="s">
        <v>4</v>
      </c>
    </row>
    <row r="3432" spans="1:2" x14ac:dyDescent="0.3">
      <c r="B3432" t="s">
        <v>5</v>
      </c>
    </row>
    <row r="3434" spans="1:2" x14ac:dyDescent="0.3">
      <c r="A3434">
        <f>A3422+1</f>
        <v>291</v>
      </c>
      <c r="B3434" t="str">
        <f>"    // Page Address Resister"&amp;A3434</f>
        <v xml:space="preserve">    // Page Address Resister291</v>
      </c>
    </row>
    <row r="3435" spans="1:2" x14ac:dyDescent="0.3">
      <c r="A3435" t="str">
        <f>DEC2HEX(A3434)</f>
        <v>123</v>
      </c>
      <c r="B3435" t="s">
        <v>0</v>
      </c>
    </row>
    <row r="3436" spans="1:2" x14ac:dyDescent="0.3">
      <c r="B3436" t="s">
        <v>1</v>
      </c>
    </row>
    <row r="3437" spans="1:2" x14ac:dyDescent="0.3">
      <c r="B3437" t="str">
        <f>"            sr_paddr_dat["&amp;A3434&amp;"]   &lt;= 24'h0;"</f>
        <v xml:space="preserve">            sr_paddr_dat[291]   &lt;= 24'h0;</v>
      </c>
    </row>
    <row r="3438" spans="1:2" x14ac:dyDescent="0.3">
      <c r="B3438" t="s">
        <v>2</v>
      </c>
    </row>
    <row r="3439" spans="1:2" x14ac:dyDescent="0.3">
      <c r="B3439" t="str">
        <f>"           if (PADDR_CNT == 7'd"&amp;A3434&amp;")"</f>
        <v xml:space="preserve">           if (PADDR_CNT == 7'd291)</v>
      </c>
    </row>
    <row r="3440" spans="1:2" x14ac:dyDescent="0.3">
      <c r="B3440" t="str">
        <f>"               sr_paddr_dat["&amp;A3434&amp;"]  &lt;= sr_page_paddr_buf;"</f>
        <v xml:space="preserve">               sr_paddr_dat[291]  &lt;= sr_page_paddr_buf;</v>
      </c>
    </row>
    <row r="3441" spans="1:2" x14ac:dyDescent="0.3">
      <c r="B3441" t="s">
        <v>3</v>
      </c>
    </row>
    <row r="3442" spans="1:2" x14ac:dyDescent="0.3">
      <c r="B3442" t="str">
        <f>"               sr_paddr_dat["&amp;A3434&amp;"]  &lt;= sr_paddr_dat["&amp;A3434&amp;"];"</f>
        <v xml:space="preserve">               sr_paddr_dat[291]  &lt;= sr_paddr_dat[291];</v>
      </c>
    </row>
    <row r="3443" spans="1:2" x14ac:dyDescent="0.3">
      <c r="B3443" t="s">
        <v>4</v>
      </c>
    </row>
    <row r="3444" spans="1:2" x14ac:dyDescent="0.3">
      <c r="B3444" t="s">
        <v>5</v>
      </c>
    </row>
    <row r="3446" spans="1:2" x14ac:dyDescent="0.3">
      <c r="A3446">
        <f>A3434+1</f>
        <v>292</v>
      </c>
      <c r="B3446" t="str">
        <f>"    // Page Address Resister"&amp;A3446</f>
        <v xml:space="preserve">    // Page Address Resister292</v>
      </c>
    </row>
    <row r="3447" spans="1:2" x14ac:dyDescent="0.3">
      <c r="A3447" t="str">
        <f>DEC2HEX(A3446)</f>
        <v>124</v>
      </c>
      <c r="B3447" t="s">
        <v>0</v>
      </c>
    </row>
    <row r="3448" spans="1:2" x14ac:dyDescent="0.3">
      <c r="B3448" t="s">
        <v>1</v>
      </c>
    </row>
    <row r="3449" spans="1:2" x14ac:dyDescent="0.3">
      <c r="B3449" t="str">
        <f>"            sr_paddr_dat["&amp;A3446&amp;"]   &lt;= 24'h0;"</f>
        <v xml:space="preserve">            sr_paddr_dat[292]   &lt;= 24'h0;</v>
      </c>
    </row>
    <row r="3450" spans="1:2" x14ac:dyDescent="0.3">
      <c r="B3450" t="s">
        <v>2</v>
      </c>
    </row>
    <row r="3451" spans="1:2" x14ac:dyDescent="0.3">
      <c r="B3451" t="str">
        <f>"           if (PADDR_CNT == 7'd"&amp;A3446&amp;")"</f>
        <v xml:space="preserve">           if (PADDR_CNT == 7'd292)</v>
      </c>
    </row>
    <row r="3452" spans="1:2" x14ac:dyDescent="0.3">
      <c r="B3452" t="str">
        <f>"               sr_paddr_dat["&amp;A3446&amp;"]  &lt;= sr_page_paddr_buf;"</f>
        <v xml:space="preserve">               sr_paddr_dat[292]  &lt;= sr_page_paddr_buf;</v>
      </c>
    </row>
    <row r="3453" spans="1:2" x14ac:dyDescent="0.3">
      <c r="B3453" t="s">
        <v>3</v>
      </c>
    </row>
    <row r="3454" spans="1:2" x14ac:dyDescent="0.3">
      <c r="B3454" t="str">
        <f>"               sr_paddr_dat["&amp;A3446&amp;"]  &lt;= sr_paddr_dat["&amp;A3446&amp;"];"</f>
        <v xml:space="preserve">               sr_paddr_dat[292]  &lt;= sr_paddr_dat[292];</v>
      </c>
    </row>
    <row r="3455" spans="1:2" x14ac:dyDescent="0.3">
      <c r="B3455" t="s">
        <v>4</v>
      </c>
    </row>
    <row r="3456" spans="1:2" x14ac:dyDescent="0.3">
      <c r="B3456" t="s">
        <v>5</v>
      </c>
    </row>
    <row r="3458" spans="1:2" x14ac:dyDescent="0.3">
      <c r="A3458">
        <f>A3446+1</f>
        <v>293</v>
      </c>
      <c r="B3458" t="str">
        <f>"    // Page Address Resister"&amp;A3458</f>
        <v xml:space="preserve">    // Page Address Resister293</v>
      </c>
    </row>
    <row r="3459" spans="1:2" x14ac:dyDescent="0.3">
      <c r="A3459" t="str">
        <f>DEC2HEX(A3458)</f>
        <v>125</v>
      </c>
      <c r="B3459" t="s">
        <v>0</v>
      </c>
    </row>
    <row r="3460" spans="1:2" x14ac:dyDescent="0.3">
      <c r="B3460" t="s">
        <v>1</v>
      </c>
    </row>
    <row r="3461" spans="1:2" x14ac:dyDescent="0.3">
      <c r="B3461" t="str">
        <f>"            sr_paddr_dat["&amp;A3458&amp;"]   &lt;= 24'h0;"</f>
        <v xml:space="preserve">            sr_paddr_dat[293]   &lt;= 24'h0;</v>
      </c>
    </row>
    <row r="3462" spans="1:2" x14ac:dyDescent="0.3">
      <c r="B3462" t="s">
        <v>2</v>
      </c>
    </row>
    <row r="3463" spans="1:2" x14ac:dyDescent="0.3">
      <c r="B3463" t="str">
        <f>"           if (PADDR_CNT == 7'd"&amp;A3458&amp;")"</f>
        <v xml:space="preserve">           if (PADDR_CNT == 7'd293)</v>
      </c>
    </row>
    <row r="3464" spans="1:2" x14ac:dyDescent="0.3">
      <c r="B3464" t="str">
        <f>"               sr_paddr_dat["&amp;A3458&amp;"]  &lt;= sr_page_paddr_buf;"</f>
        <v xml:space="preserve">               sr_paddr_dat[293]  &lt;= sr_page_paddr_buf;</v>
      </c>
    </row>
    <row r="3465" spans="1:2" x14ac:dyDescent="0.3">
      <c r="B3465" t="s">
        <v>3</v>
      </c>
    </row>
    <row r="3466" spans="1:2" x14ac:dyDescent="0.3">
      <c r="B3466" t="str">
        <f>"               sr_paddr_dat["&amp;A3458&amp;"]  &lt;= sr_paddr_dat["&amp;A3458&amp;"];"</f>
        <v xml:space="preserve">               sr_paddr_dat[293]  &lt;= sr_paddr_dat[293];</v>
      </c>
    </row>
    <row r="3467" spans="1:2" x14ac:dyDescent="0.3">
      <c r="B3467" t="s">
        <v>4</v>
      </c>
    </row>
    <row r="3468" spans="1:2" x14ac:dyDescent="0.3">
      <c r="B3468" t="s">
        <v>5</v>
      </c>
    </row>
    <row r="3470" spans="1:2" x14ac:dyDescent="0.3">
      <c r="A3470">
        <f>A3458+1</f>
        <v>294</v>
      </c>
      <c r="B3470" t="str">
        <f>"    // Page Address Resister"&amp;A3470</f>
        <v xml:space="preserve">    // Page Address Resister294</v>
      </c>
    </row>
    <row r="3471" spans="1:2" x14ac:dyDescent="0.3">
      <c r="A3471" t="str">
        <f>DEC2HEX(A3470)</f>
        <v>126</v>
      </c>
      <c r="B3471" t="s">
        <v>0</v>
      </c>
    </row>
    <row r="3472" spans="1:2" x14ac:dyDescent="0.3">
      <c r="B3472" t="s">
        <v>1</v>
      </c>
    </row>
    <row r="3473" spans="1:2" x14ac:dyDescent="0.3">
      <c r="B3473" t="str">
        <f>"            sr_paddr_dat["&amp;A3470&amp;"]   &lt;= 24'h0;"</f>
        <v xml:space="preserve">            sr_paddr_dat[294]   &lt;= 24'h0;</v>
      </c>
    </row>
    <row r="3474" spans="1:2" x14ac:dyDescent="0.3">
      <c r="B3474" t="s">
        <v>2</v>
      </c>
    </row>
    <row r="3475" spans="1:2" x14ac:dyDescent="0.3">
      <c r="B3475" t="str">
        <f>"           if (PADDR_CNT == 7'd"&amp;A3470&amp;")"</f>
        <v xml:space="preserve">           if (PADDR_CNT == 7'd294)</v>
      </c>
    </row>
    <row r="3476" spans="1:2" x14ac:dyDescent="0.3">
      <c r="B3476" t="str">
        <f>"               sr_paddr_dat["&amp;A3470&amp;"]  &lt;= sr_page_paddr_buf;"</f>
        <v xml:space="preserve">               sr_paddr_dat[294]  &lt;= sr_page_paddr_buf;</v>
      </c>
    </row>
    <row r="3477" spans="1:2" x14ac:dyDescent="0.3">
      <c r="B3477" t="s">
        <v>3</v>
      </c>
    </row>
    <row r="3478" spans="1:2" x14ac:dyDescent="0.3">
      <c r="B3478" t="str">
        <f>"               sr_paddr_dat["&amp;A3470&amp;"]  &lt;= sr_paddr_dat["&amp;A3470&amp;"];"</f>
        <v xml:space="preserve">               sr_paddr_dat[294]  &lt;= sr_paddr_dat[294];</v>
      </c>
    </row>
    <row r="3479" spans="1:2" x14ac:dyDescent="0.3">
      <c r="B3479" t="s">
        <v>4</v>
      </c>
    </row>
    <row r="3480" spans="1:2" x14ac:dyDescent="0.3">
      <c r="B3480" t="s">
        <v>5</v>
      </c>
    </row>
    <row r="3482" spans="1:2" x14ac:dyDescent="0.3">
      <c r="A3482">
        <f>A3470+1</f>
        <v>295</v>
      </c>
      <c r="B3482" t="str">
        <f>"    // Page Address Resister"&amp;A3482</f>
        <v xml:space="preserve">    // Page Address Resister295</v>
      </c>
    </row>
    <row r="3483" spans="1:2" x14ac:dyDescent="0.3">
      <c r="A3483" t="str">
        <f>DEC2HEX(A3482)</f>
        <v>127</v>
      </c>
      <c r="B3483" t="s">
        <v>0</v>
      </c>
    </row>
    <row r="3484" spans="1:2" x14ac:dyDescent="0.3">
      <c r="B3484" t="s">
        <v>1</v>
      </c>
    </row>
    <row r="3485" spans="1:2" x14ac:dyDescent="0.3">
      <c r="B3485" t="str">
        <f>"            sr_paddr_dat["&amp;A3482&amp;"]   &lt;= 24'h0;"</f>
        <v xml:space="preserve">            sr_paddr_dat[295]   &lt;= 24'h0;</v>
      </c>
    </row>
    <row r="3486" spans="1:2" x14ac:dyDescent="0.3">
      <c r="B3486" t="s">
        <v>2</v>
      </c>
    </row>
    <row r="3487" spans="1:2" x14ac:dyDescent="0.3">
      <c r="B3487" t="str">
        <f>"           if (PADDR_CNT == 7'd"&amp;A3482&amp;")"</f>
        <v xml:space="preserve">           if (PADDR_CNT == 7'd295)</v>
      </c>
    </row>
    <row r="3488" spans="1:2" x14ac:dyDescent="0.3">
      <c r="B3488" t="str">
        <f>"               sr_paddr_dat["&amp;A3482&amp;"]  &lt;= sr_page_paddr_buf;"</f>
        <v xml:space="preserve">               sr_paddr_dat[295]  &lt;= sr_page_paddr_buf;</v>
      </c>
    </row>
    <row r="3489" spans="1:2" x14ac:dyDescent="0.3">
      <c r="B3489" t="s">
        <v>3</v>
      </c>
    </row>
    <row r="3490" spans="1:2" x14ac:dyDescent="0.3">
      <c r="B3490" t="str">
        <f>"               sr_paddr_dat["&amp;A3482&amp;"]  &lt;= sr_paddr_dat["&amp;A3482&amp;"];"</f>
        <v xml:space="preserve">               sr_paddr_dat[295]  &lt;= sr_paddr_dat[295];</v>
      </c>
    </row>
    <row r="3491" spans="1:2" x14ac:dyDescent="0.3">
      <c r="B3491" t="s">
        <v>4</v>
      </c>
    </row>
    <row r="3492" spans="1:2" x14ac:dyDescent="0.3">
      <c r="B3492" t="s">
        <v>5</v>
      </c>
    </row>
    <row r="3494" spans="1:2" x14ac:dyDescent="0.3">
      <c r="A3494">
        <f>A3482+1</f>
        <v>296</v>
      </c>
      <c r="B3494" t="str">
        <f>"    // Page Address Resister"&amp;A3494</f>
        <v xml:space="preserve">    // Page Address Resister296</v>
      </c>
    </row>
    <row r="3495" spans="1:2" x14ac:dyDescent="0.3">
      <c r="A3495" t="str">
        <f>DEC2HEX(A3494)</f>
        <v>128</v>
      </c>
      <c r="B3495" t="s">
        <v>0</v>
      </c>
    </row>
    <row r="3496" spans="1:2" x14ac:dyDescent="0.3">
      <c r="B3496" t="s">
        <v>1</v>
      </c>
    </row>
    <row r="3497" spans="1:2" x14ac:dyDescent="0.3">
      <c r="B3497" t="str">
        <f>"            sr_paddr_dat["&amp;A3494&amp;"]   &lt;= 24'h0;"</f>
        <v xml:space="preserve">            sr_paddr_dat[296]   &lt;= 24'h0;</v>
      </c>
    </row>
    <row r="3498" spans="1:2" x14ac:dyDescent="0.3">
      <c r="B3498" t="s">
        <v>2</v>
      </c>
    </row>
    <row r="3499" spans="1:2" x14ac:dyDescent="0.3">
      <c r="B3499" t="str">
        <f>"           if (PADDR_CNT == 7'd"&amp;A3494&amp;")"</f>
        <v xml:space="preserve">           if (PADDR_CNT == 7'd296)</v>
      </c>
    </row>
    <row r="3500" spans="1:2" x14ac:dyDescent="0.3">
      <c r="B3500" t="str">
        <f>"               sr_paddr_dat["&amp;A3494&amp;"]  &lt;= sr_page_paddr_buf;"</f>
        <v xml:space="preserve">               sr_paddr_dat[296]  &lt;= sr_page_paddr_buf;</v>
      </c>
    </row>
    <row r="3501" spans="1:2" x14ac:dyDescent="0.3">
      <c r="B3501" t="s">
        <v>3</v>
      </c>
    </row>
    <row r="3502" spans="1:2" x14ac:dyDescent="0.3">
      <c r="B3502" t="str">
        <f>"               sr_paddr_dat["&amp;A3494&amp;"]  &lt;= sr_paddr_dat["&amp;A3494&amp;"];"</f>
        <v xml:space="preserve">               sr_paddr_dat[296]  &lt;= sr_paddr_dat[296];</v>
      </c>
    </row>
    <row r="3503" spans="1:2" x14ac:dyDescent="0.3">
      <c r="B3503" t="s">
        <v>4</v>
      </c>
    </row>
    <row r="3504" spans="1:2" x14ac:dyDescent="0.3">
      <c r="B3504" t="s">
        <v>5</v>
      </c>
    </row>
    <row r="3506" spans="1:2" x14ac:dyDescent="0.3">
      <c r="A3506">
        <f>A3494+1</f>
        <v>297</v>
      </c>
      <c r="B3506" t="str">
        <f>"    // Page Address Resister"&amp;A3506</f>
        <v xml:space="preserve">    // Page Address Resister297</v>
      </c>
    </row>
    <row r="3507" spans="1:2" x14ac:dyDescent="0.3">
      <c r="A3507" t="str">
        <f t="shared" ref="A3507" si="15">DEC2HEX(A3506)</f>
        <v>129</v>
      </c>
      <c r="B3507" t="s">
        <v>0</v>
      </c>
    </row>
    <row r="3508" spans="1:2" x14ac:dyDescent="0.3">
      <c r="B3508" t="s">
        <v>1</v>
      </c>
    </row>
    <row r="3509" spans="1:2" x14ac:dyDescent="0.3">
      <c r="B3509" t="str">
        <f>"            sr_paddr_dat["&amp;A3506&amp;"]   &lt;= 24'h0;"</f>
        <v xml:space="preserve">            sr_paddr_dat[297]   &lt;= 24'h0;</v>
      </c>
    </row>
    <row r="3510" spans="1:2" x14ac:dyDescent="0.3">
      <c r="B3510" t="s">
        <v>2</v>
      </c>
    </row>
    <row r="3511" spans="1:2" x14ac:dyDescent="0.3">
      <c r="B3511" t="str">
        <f>"           if (PADDR_CNT == 7'd"&amp;A3506&amp;")"</f>
        <v xml:space="preserve">           if (PADDR_CNT == 7'd297)</v>
      </c>
    </row>
    <row r="3512" spans="1:2" x14ac:dyDescent="0.3">
      <c r="B3512" t="str">
        <f>"               sr_paddr_dat["&amp;A3506&amp;"]  &lt;= sr_page_paddr_buf;"</f>
        <v xml:space="preserve">               sr_paddr_dat[297]  &lt;= sr_page_paddr_buf;</v>
      </c>
    </row>
    <row r="3513" spans="1:2" x14ac:dyDescent="0.3">
      <c r="B3513" t="s">
        <v>3</v>
      </c>
    </row>
    <row r="3514" spans="1:2" x14ac:dyDescent="0.3">
      <c r="B3514" t="str">
        <f>"               sr_paddr_dat["&amp;A3506&amp;"]  &lt;= sr_paddr_dat["&amp;A3506&amp;"];"</f>
        <v xml:space="preserve">               sr_paddr_dat[297]  &lt;= sr_paddr_dat[297];</v>
      </c>
    </row>
    <row r="3515" spans="1:2" x14ac:dyDescent="0.3">
      <c r="B3515" t="s">
        <v>4</v>
      </c>
    </row>
    <row r="3516" spans="1:2" x14ac:dyDescent="0.3">
      <c r="B3516" t="s">
        <v>5</v>
      </c>
    </row>
    <row r="3518" spans="1:2" x14ac:dyDescent="0.3">
      <c r="A3518">
        <f>A3506+1</f>
        <v>298</v>
      </c>
      <c r="B3518" t="str">
        <f>"    // Page Address Resister"&amp;A3518</f>
        <v xml:space="preserve">    // Page Address Resister298</v>
      </c>
    </row>
    <row r="3519" spans="1:2" x14ac:dyDescent="0.3">
      <c r="A3519" t="str">
        <f t="shared" ref="A3519" si="16">DEC2HEX(A3518)</f>
        <v>12A</v>
      </c>
      <c r="B3519" t="s">
        <v>0</v>
      </c>
    </row>
    <row r="3520" spans="1:2" x14ac:dyDescent="0.3">
      <c r="B3520" t="s">
        <v>1</v>
      </c>
    </row>
    <row r="3521" spans="1:2" x14ac:dyDescent="0.3">
      <c r="B3521" t="str">
        <f>"            sr_paddr_dat["&amp;A3518&amp;"]   &lt;= 24'h0;"</f>
        <v xml:space="preserve">            sr_paddr_dat[298]   &lt;= 24'h0;</v>
      </c>
    </row>
    <row r="3522" spans="1:2" x14ac:dyDescent="0.3">
      <c r="B3522" t="s">
        <v>2</v>
      </c>
    </row>
    <row r="3523" spans="1:2" x14ac:dyDescent="0.3">
      <c r="B3523" t="str">
        <f>"           if (PADDR_CNT == 7'd"&amp;A3518&amp;")"</f>
        <v xml:space="preserve">           if (PADDR_CNT == 7'd298)</v>
      </c>
    </row>
    <row r="3524" spans="1:2" x14ac:dyDescent="0.3">
      <c r="B3524" t="str">
        <f>"               sr_paddr_dat["&amp;A3518&amp;"]  &lt;= sr_page_paddr_buf;"</f>
        <v xml:space="preserve">               sr_paddr_dat[298]  &lt;= sr_page_paddr_buf;</v>
      </c>
    </row>
    <row r="3525" spans="1:2" x14ac:dyDescent="0.3">
      <c r="B3525" t="s">
        <v>3</v>
      </c>
    </row>
    <row r="3526" spans="1:2" x14ac:dyDescent="0.3">
      <c r="B3526" t="str">
        <f>"               sr_paddr_dat["&amp;A3518&amp;"]  &lt;= sr_paddr_dat["&amp;A3518&amp;"];"</f>
        <v xml:space="preserve">               sr_paddr_dat[298]  &lt;= sr_paddr_dat[298];</v>
      </c>
    </row>
    <row r="3527" spans="1:2" x14ac:dyDescent="0.3">
      <c r="B3527" t="s">
        <v>4</v>
      </c>
    </row>
    <row r="3528" spans="1:2" x14ac:dyDescent="0.3">
      <c r="B3528" t="s">
        <v>5</v>
      </c>
    </row>
    <row r="3530" spans="1:2" x14ac:dyDescent="0.3">
      <c r="A3530">
        <f>A3518+1</f>
        <v>299</v>
      </c>
      <c r="B3530" t="str">
        <f>"    // Page Address Resister"&amp;A3530</f>
        <v xml:space="preserve">    // Page Address Resister299</v>
      </c>
    </row>
    <row r="3531" spans="1:2" x14ac:dyDescent="0.3">
      <c r="A3531" t="str">
        <f t="shared" ref="A3531" si="17">DEC2HEX(A3530)</f>
        <v>12B</v>
      </c>
      <c r="B3531" t="s">
        <v>0</v>
      </c>
    </row>
    <row r="3532" spans="1:2" x14ac:dyDescent="0.3">
      <c r="B3532" t="s">
        <v>1</v>
      </c>
    </row>
    <row r="3533" spans="1:2" x14ac:dyDescent="0.3">
      <c r="B3533" t="str">
        <f>"            sr_paddr_dat["&amp;A3530&amp;"]   &lt;= 24'h0;"</f>
        <v xml:space="preserve">            sr_paddr_dat[299]   &lt;= 24'h0;</v>
      </c>
    </row>
    <row r="3534" spans="1:2" x14ac:dyDescent="0.3">
      <c r="B3534" t="s">
        <v>2</v>
      </c>
    </row>
    <row r="3535" spans="1:2" x14ac:dyDescent="0.3">
      <c r="B3535" t="str">
        <f>"           if (PADDR_CNT == 7'd"&amp;A3530&amp;")"</f>
        <v xml:space="preserve">           if (PADDR_CNT == 7'd299)</v>
      </c>
    </row>
    <row r="3536" spans="1:2" x14ac:dyDescent="0.3">
      <c r="B3536" t="str">
        <f>"               sr_paddr_dat["&amp;A3530&amp;"]  &lt;= sr_page_paddr_buf;"</f>
        <v xml:space="preserve">               sr_paddr_dat[299]  &lt;= sr_page_paddr_buf;</v>
      </c>
    </row>
    <row r="3537" spans="1:2" x14ac:dyDescent="0.3">
      <c r="B3537" t="s">
        <v>3</v>
      </c>
    </row>
    <row r="3538" spans="1:2" x14ac:dyDescent="0.3">
      <c r="B3538" t="str">
        <f>"               sr_paddr_dat["&amp;A3530&amp;"]  &lt;= sr_paddr_dat["&amp;A3530&amp;"];"</f>
        <v xml:space="preserve">               sr_paddr_dat[299]  &lt;= sr_paddr_dat[299];</v>
      </c>
    </row>
    <row r="3539" spans="1:2" x14ac:dyDescent="0.3">
      <c r="B3539" t="s">
        <v>4</v>
      </c>
    </row>
    <row r="3540" spans="1:2" x14ac:dyDescent="0.3">
      <c r="B3540" t="s">
        <v>5</v>
      </c>
    </row>
    <row r="3542" spans="1:2" x14ac:dyDescent="0.3">
      <c r="A3542">
        <f>A3530+1</f>
        <v>300</v>
      </c>
      <c r="B3542" t="str">
        <f>"    // Page Address Resister"&amp;A3542</f>
        <v xml:space="preserve">    // Page Address Resister300</v>
      </c>
    </row>
    <row r="3543" spans="1:2" x14ac:dyDescent="0.3">
      <c r="A3543" t="str">
        <f>DEC2HEX(A3542)</f>
        <v>12C</v>
      </c>
      <c r="B3543" t="s">
        <v>0</v>
      </c>
    </row>
    <row r="3544" spans="1:2" x14ac:dyDescent="0.3">
      <c r="B3544" t="s">
        <v>1</v>
      </c>
    </row>
    <row r="3545" spans="1:2" x14ac:dyDescent="0.3">
      <c r="B3545" t="str">
        <f>"            sr_paddr_dat["&amp;A3542&amp;"]   &lt;= 24'h0;"</f>
        <v xml:space="preserve">            sr_paddr_dat[300]   &lt;= 24'h0;</v>
      </c>
    </row>
    <row r="3546" spans="1:2" x14ac:dyDescent="0.3">
      <c r="B3546" t="s">
        <v>2</v>
      </c>
    </row>
    <row r="3547" spans="1:2" x14ac:dyDescent="0.3">
      <c r="B3547" t="str">
        <f>"           if (PADDR_CNT == 7'd"&amp;A3542&amp;")"</f>
        <v xml:space="preserve">           if (PADDR_CNT == 7'd300)</v>
      </c>
    </row>
    <row r="3548" spans="1:2" x14ac:dyDescent="0.3">
      <c r="B3548" t="str">
        <f>"               sr_paddr_dat["&amp;A3542&amp;"]  &lt;= sr_page_paddr_buf;"</f>
        <v xml:space="preserve">               sr_paddr_dat[300]  &lt;= sr_page_paddr_buf;</v>
      </c>
    </row>
    <row r="3549" spans="1:2" x14ac:dyDescent="0.3">
      <c r="B3549" t="s">
        <v>3</v>
      </c>
    </row>
    <row r="3550" spans="1:2" x14ac:dyDescent="0.3">
      <c r="B3550" t="str">
        <f>"               sr_paddr_dat["&amp;A3542&amp;"]  &lt;= sr_paddr_dat["&amp;A3542&amp;"];"</f>
        <v xml:space="preserve">               sr_paddr_dat[300]  &lt;= sr_paddr_dat[300];</v>
      </c>
    </row>
    <row r="3551" spans="1:2" x14ac:dyDescent="0.3">
      <c r="B3551" t="s">
        <v>4</v>
      </c>
    </row>
    <row r="3552" spans="1:2" x14ac:dyDescent="0.3">
      <c r="B3552" t="s">
        <v>5</v>
      </c>
    </row>
    <row r="3554" spans="1:2" x14ac:dyDescent="0.3">
      <c r="A3554">
        <f>A3542+1</f>
        <v>301</v>
      </c>
      <c r="B3554" t="str">
        <f>"    // Page Address Resister"&amp;A3554</f>
        <v xml:space="preserve">    // Page Address Resister301</v>
      </c>
    </row>
    <row r="3555" spans="1:2" x14ac:dyDescent="0.3">
      <c r="A3555" t="str">
        <f>DEC2HEX(A3554)</f>
        <v>12D</v>
      </c>
      <c r="B3555" t="s">
        <v>0</v>
      </c>
    </row>
    <row r="3556" spans="1:2" x14ac:dyDescent="0.3">
      <c r="B3556" t="s">
        <v>1</v>
      </c>
    </row>
    <row r="3557" spans="1:2" x14ac:dyDescent="0.3">
      <c r="B3557" t="str">
        <f>"            sr_paddr_dat["&amp;A3554&amp;"]   &lt;= 24'h0;"</f>
        <v xml:space="preserve">            sr_paddr_dat[301]   &lt;= 24'h0;</v>
      </c>
    </row>
    <row r="3558" spans="1:2" x14ac:dyDescent="0.3">
      <c r="B3558" t="s">
        <v>2</v>
      </c>
    </row>
    <row r="3559" spans="1:2" x14ac:dyDescent="0.3">
      <c r="B3559" t="str">
        <f>"           if (PADDR_CNT == 7'd"&amp;A3554&amp;")"</f>
        <v xml:space="preserve">           if (PADDR_CNT == 7'd301)</v>
      </c>
    </row>
    <row r="3560" spans="1:2" x14ac:dyDescent="0.3">
      <c r="B3560" t="str">
        <f>"               sr_paddr_dat["&amp;A3554&amp;"]  &lt;= sr_page_paddr_buf;"</f>
        <v xml:space="preserve">               sr_paddr_dat[301]  &lt;= sr_page_paddr_buf;</v>
      </c>
    </row>
    <row r="3561" spans="1:2" x14ac:dyDescent="0.3">
      <c r="B3561" t="s">
        <v>3</v>
      </c>
    </row>
    <row r="3562" spans="1:2" x14ac:dyDescent="0.3">
      <c r="B3562" t="str">
        <f>"               sr_paddr_dat["&amp;A3554&amp;"]  &lt;= sr_paddr_dat["&amp;A3554&amp;"];"</f>
        <v xml:space="preserve">               sr_paddr_dat[301]  &lt;= sr_paddr_dat[301];</v>
      </c>
    </row>
    <row r="3563" spans="1:2" x14ac:dyDescent="0.3">
      <c r="B3563" t="s">
        <v>4</v>
      </c>
    </row>
    <row r="3564" spans="1:2" x14ac:dyDescent="0.3">
      <c r="B3564" t="s">
        <v>5</v>
      </c>
    </row>
    <row r="3566" spans="1:2" x14ac:dyDescent="0.3">
      <c r="A3566">
        <f>A3554+1</f>
        <v>302</v>
      </c>
      <c r="B3566" t="str">
        <f>"    // Page Address Resister"&amp;A3566</f>
        <v xml:space="preserve">    // Page Address Resister302</v>
      </c>
    </row>
    <row r="3567" spans="1:2" x14ac:dyDescent="0.3">
      <c r="A3567" t="str">
        <f>DEC2HEX(A3566)</f>
        <v>12E</v>
      </c>
      <c r="B3567" t="s">
        <v>0</v>
      </c>
    </row>
    <row r="3568" spans="1:2" x14ac:dyDescent="0.3">
      <c r="B3568" t="s">
        <v>1</v>
      </c>
    </row>
    <row r="3569" spans="1:2" x14ac:dyDescent="0.3">
      <c r="B3569" t="str">
        <f>"            sr_paddr_dat["&amp;A3566&amp;"]   &lt;= 24'h0;"</f>
        <v xml:space="preserve">            sr_paddr_dat[302]   &lt;= 24'h0;</v>
      </c>
    </row>
    <row r="3570" spans="1:2" x14ac:dyDescent="0.3">
      <c r="B3570" t="s">
        <v>2</v>
      </c>
    </row>
    <row r="3571" spans="1:2" x14ac:dyDescent="0.3">
      <c r="B3571" t="str">
        <f>"           if (PADDR_CNT == 7'd"&amp;A3566&amp;")"</f>
        <v xml:space="preserve">           if (PADDR_CNT == 7'd302)</v>
      </c>
    </row>
    <row r="3572" spans="1:2" x14ac:dyDescent="0.3">
      <c r="B3572" t="str">
        <f>"               sr_paddr_dat["&amp;A3566&amp;"]  &lt;= sr_page_paddr_buf;"</f>
        <v xml:space="preserve">               sr_paddr_dat[302]  &lt;= sr_page_paddr_buf;</v>
      </c>
    </row>
    <row r="3573" spans="1:2" x14ac:dyDescent="0.3">
      <c r="B3573" t="s">
        <v>3</v>
      </c>
    </row>
    <row r="3574" spans="1:2" x14ac:dyDescent="0.3">
      <c r="B3574" t="str">
        <f>"               sr_paddr_dat["&amp;A3566&amp;"]  &lt;= sr_paddr_dat["&amp;A3566&amp;"];"</f>
        <v xml:space="preserve">               sr_paddr_dat[302]  &lt;= sr_paddr_dat[302];</v>
      </c>
    </row>
    <row r="3575" spans="1:2" x14ac:dyDescent="0.3">
      <c r="B3575" t="s">
        <v>4</v>
      </c>
    </row>
    <row r="3576" spans="1:2" x14ac:dyDescent="0.3">
      <c r="B3576" t="s">
        <v>5</v>
      </c>
    </row>
    <row r="3578" spans="1:2" x14ac:dyDescent="0.3">
      <c r="A3578">
        <f>A3566+1</f>
        <v>303</v>
      </c>
      <c r="B3578" t="str">
        <f>"    // Page Address Resister"&amp;A3578</f>
        <v xml:space="preserve">    // Page Address Resister303</v>
      </c>
    </row>
    <row r="3579" spans="1:2" x14ac:dyDescent="0.3">
      <c r="A3579" t="str">
        <f>DEC2HEX(A3578)</f>
        <v>12F</v>
      </c>
      <c r="B3579" t="s">
        <v>0</v>
      </c>
    </row>
    <row r="3580" spans="1:2" x14ac:dyDescent="0.3">
      <c r="B3580" t="s">
        <v>1</v>
      </c>
    </row>
    <row r="3581" spans="1:2" x14ac:dyDescent="0.3">
      <c r="B3581" t="str">
        <f>"            sr_paddr_dat["&amp;A3578&amp;"]   &lt;= 24'h0;"</f>
        <v xml:space="preserve">            sr_paddr_dat[303]   &lt;= 24'h0;</v>
      </c>
    </row>
    <row r="3582" spans="1:2" x14ac:dyDescent="0.3">
      <c r="B3582" t="s">
        <v>2</v>
      </c>
    </row>
    <row r="3583" spans="1:2" x14ac:dyDescent="0.3">
      <c r="B3583" t="str">
        <f>"           if (PADDR_CNT == 7'd"&amp;A3578&amp;")"</f>
        <v xml:space="preserve">           if (PADDR_CNT == 7'd303)</v>
      </c>
    </row>
    <row r="3584" spans="1:2" x14ac:dyDescent="0.3">
      <c r="B3584" t="str">
        <f>"               sr_paddr_dat["&amp;A3578&amp;"]  &lt;= sr_page_paddr_buf;"</f>
        <v xml:space="preserve">               sr_paddr_dat[303]  &lt;= sr_page_paddr_buf;</v>
      </c>
    </row>
    <row r="3585" spans="1:2" x14ac:dyDescent="0.3">
      <c r="B3585" t="s">
        <v>3</v>
      </c>
    </row>
    <row r="3586" spans="1:2" x14ac:dyDescent="0.3">
      <c r="B3586" t="str">
        <f>"               sr_paddr_dat["&amp;A3578&amp;"]  &lt;= sr_paddr_dat["&amp;A3578&amp;"];"</f>
        <v xml:space="preserve">               sr_paddr_dat[303]  &lt;= sr_paddr_dat[303];</v>
      </c>
    </row>
    <row r="3587" spans="1:2" x14ac:dyDescent="0.3">
      <c r="B3587" t="s">
        <v>4</v>
      </c>
    </row>
    <row r="3588" spans="1:2" x14ac:dyDescent="0.3">
      <c r="B3588" t="s">
        <v>5</v>
      </c>
    </row>
    <row r="3590" spans="1:2" x14ac:dyDescent="0.3">
      <c r="A3590">
        <f>A3578+1</f>
        <v>304</v>
      </c>
      <c r="B3590" t="str">
        <f>"    // Page Address Resister"&amp;A3590</f>
        <v xml:space="preserve">    // Page Address Resister304</v>
      </c>
    </row>
    <row r="3591" spans="1:2" x14ac:dyDescent="0.3">
      <c r="A3591" t="str">
        <f>DEC2HEX(A3590)</f>
        <v>130</v>
      </c>
      <c r="B3591" t="s">
        <v>0</v>
      </c>
    </row>
    <row r="3592" spans="1:2" x14ac:dyDescent="0.3">
      <c r="B3592" t="s">
        <v>1</v>
      </c>
    </row>
    <row r="3593" spans="1:2" x14ac:dyDescent="0.3">
      <c r="B3593" t="str">
        <f>"            sr_paddr_dat["&amp;A3590&amp;"]   &lt;= 24'h0;"</f>
        <v xml:space="preserve">            sr_paddr_dat[304]   &lt;= 24'h0;</v>
      </c>
    </row>
    <row r="3594" spans="1:2" x14ac:dyDescent="0.3">
      <c r="B3594" t="s">
        <v>2</v>
      </c>
    </row>
    <row r="3595" spans="1:2" x14ac:dyDescent="0.3">
      <c r="B3595" t="str">
        <f>"           if (PADDR_CNT == 7'd"&amp;A3590&amp;")"</f>
        <v xml:space="preserve">           if (PADDR_CNT == 7'd304)</v>
      </c>
    </row>
    <row r="3596" spans="1:2" x14ac:dyDescent="0.3">
      <c r="B3596" t="str">
        <f>"               sr_paddr_dat["&amp;A3590&amp;"]  &lt;= sr_page_paddr_buf;"</f>
        <v xml:space="preserve">               sr_paddr_dat[304]  &lt;= sr_page_paddr_buf;</v>
      </c>
    </row>
    <row r="3597" spans="1:2" x14ac:dyDescent="0.3">
      <c r="B3597" t="s">
        <v>3</v>
      </c>
    </row>
    <row r="3598" spans="1:2" x14ac:dyDescent="0.3">
      <c r="B3598" t="str">
        <f>"               sr_paddr_dat["&amp;A3590&amp;"]  &lt;= sr_paddr_dat["&amp;A3590&amp;"];"</f>
        <v xml:space="preserve">               sr_paddr_dat[304]  &lt;= sr_paddr_dat[304];</v>
      </c>
    </row>
    <row r="3599" spans="1:2" x14ac:dyDescent="0.3">
      <c r="B3599" t="s">
        <v>4</v>
      </c>
    </row>
    <row r="3600" spans="1:2" x14ac:dyDescent="0.3">
      <c r="B3600" t="s">
        <v>5</v>
      </c>
    </row>
    <row r="3602" spans="1:2" x14ac:dyDescent="0.3">
      <c r="A3602">
        <f>A3590+1</f>
        <v>305</v>
      </c>
      <c r="B3602" t="str">
        <f>"    // Page Address Resister"&amp;A3602</f>
        <v xml:space="preserve">    // Page Address Resister305</v>
      </c>
    </row>
    <row r="3603" spans="1:2" x14ac:dyDescent="0.3">
      <c r="A3603" t="str">
        <f>DEC2HEX(A3602)</f>
        <v>131</v>
      </c>
      <c r="B3603" t="s">
        <v>0</v>
      </c>
    </row>
    <row r="3604" spans="1:2" x14ac:dyDescent="0.3">
      <c r="B3604" t="s">
        <v>1</v>
      </c>
    </row>
    <row r="3605" spans="1:2" x14ac:dyDescent="0.3">
      <c r="B3605" t="str">
        <f>"            sr_paddr_dat["&amp;A3602&amp;"]   &lt;= 24'h0;"</f>
        <v xml:space="preserve">            sr_paddr_dat[305]   &lt;= 24'h0;</v>
      </c>
    </row>
    <row r="3606" spans="1:2" x14ac:dyDescent="0.3">
      <c r="B3606" t="s">
        <v>2</v>
      </c>
    </row>
    <row r="3607" spans="1:2" x14ac:dyDescent="0.3">
      <c r="B3607" t="str">
        <f>"           if (PADDR_CNT == 7'd"&amp;A3602&amp;")"</f>
        <v xml:space="preserve">           if (PADDR_CNT == 7'd305)</v>
      </c>
    </row>
    <row r="3608" spans="1:2" x14ac:dyDescent="0.3">
      <c r="B3608" t="str">
        <f>"               sr_paddr_dat["&amp;A3602&amp;"]  &lt;= sr_page_paddr_buf;"</f>
        <v xml:space="preserve">               sr_paddr_dat[305]  &lt;= sr_page_paddr_buf;</v>
      </c>
    </row>
    <row r="3609" spans="1:2" x14ac:dyDescent="0.3">
      <c r="B3609" t="s">
        <v>3</v>
      </c>
    </row>
    <row r="3610" spans="1:2" x14ac:dyDescent="0.3">
      <c r="B3610" t="str">
        <f>"               sr_paddr_dat["&amp;A3602&amp;"]  &lt;= sr_paddr_dat["&amp;A3602&amp;"];"</f>
        <v xml:space="preserve">               sr_paddr_dat[305]  &lt;= sr_paddr_dat[305];</v>
      </c>
    </row>
    <row r="3611" spans="1:2" x14ac:dyDescent="0.3">
      <c r="B3611" t="s">
        <v>4</v>
      </c>
    </row>
    <row r="3612" spans="1:2" x14ac:dyDescent="0.3">
      <c r="B3612" t="s">
        <v>5</v>
      </c>
    </row>
    <row r="3614" spans="1:2" x14ac:dyDescent="0.3">
      <c r="A3614">
        <f>A3602+1</f>
        <v>306</v>
      </c>
      <c r="B3614" t="str">
        <f>"    // Page Address Resister"&amp;A3614</f>
        <v xml:space="preserve">    // Page Address Resister306</v>
      </c>
    </row>
    <row r="3615" spans="1:2" x14ac:dyDescent="0.3">
      <c r="A3615" t="str">
        <f>DEC2HEX(A3614)</f>
        <v>132</v>
      </c>
      <c r="B3615" t="s">
        <v>0</v>
      </c>
    </row>
    <row r="3616" spans="1:2" x14ac:dyDescent="0.3">
      <c r="B3616" t="s">
        <v>1</v>
      </c>
    </row>
    <row r="3617" spans="1:2" x14ac:dyDescent="0.3">
      <c r="B3617" t="str">
        <f>"            sr_paddr_dat["&amp;A3614&amp;"]   &lt;= 24'h0;"</f>
        <v xml:space="preserve">            sr_paddr_dat[306]   &lt;= 24'h0;</v>
      </c>
    </row>
    <row r="3618" spans="1:2" x14ac:dyDescent="0.3">
      <c r="B3618" t="s">
        <v>2</v>
      </c>
    </row>
    <row r="3619" spans="1:2" x14ac:dyDescent="0.3">
      <c r="B3619" t="str">
        <f>"           if (PADDR_CNT == 7'd"&amp;A3614&amp;")"</f>
        <v xml:space="preserve">           if (PADDR_CNT == 7'd306)</v>
      </c>
    </row>
    <row r="3620" spans="1:2" x14ac:dyDescent="0.3">
      <c r="B3620" t="str">
        <f>"               sr_paddr_dat["&amp;A3614&amp;"]  &lt;= sr_page_paddr_buf;"</f>
        <v xml:space="preserve">               sr_paddr_dat[306]  &lt;= sr_page_paddr_buf;</v>
      </c>
    </row>
    <row r="3621" spans="1:2" x14ac:dyDescent="0.3">
      <c r="B3621" t="s">
        <v>3</v>
      </c>
    </row>
    <row r="3622" spans="1:2" x14ac:dyDescent="0.3">
      <c r="B3622" t="str">
        <f>"               sr_paddr_dat["&amp;A3614&amp;"]  &lt;= sr_paddr_dat["&amp;A3614&amp;"];"</f>
        <v xml:space="preserve">               sr_paddr_dat[306]  &lt;= sr_paddr_dat[306];</v>
      </c>
    </row>
    <row r="3623" spans="1:2" x14ac:dyDescent="0.3">
      <c r="B3623" t="s">
        <v>4</v>
      </c>
    </row>
    <row r="3624" spans="1:2" x14ac:dyDescent="0.3">
      <c r="B3624" t="s">
        <v>5</v>
      </c>
    </row>
    <row r="3626" spans="1:2" x14ac:dyDescent="0.3">
      <c r="A3626">
        <f>A3614+1</f>
        <v>307</v>
      </c>
      <c r="B3626" t="str">
        <f>"    // Page Address Resister"&amp;A3626</f>
        <v xml:space="preserve">    // Page Address Resister307</v>
      </c>
    </row>
    <row r="3627" spans="1:2" x14ac:dyDescent="0.3">
      <c r="A3627" t="str">
        <f>DEC2HEX(A3626)</f>
        <v>133</v>
      </c>
      <c r="B3627" t="s">
        <v>0</v>
      </c>
    </row>
    <row r="3628" spans="1:2" x14ac:dyDescent="0.3">
      <c r="B3628" t="s">
        <v>1</v>
      </c>
    </row>
    <row r="3629" spans="1:2" x14ac:dyDescent="0.3">
      <c r="B3629" t="str">
        <f>"            sr_paddr_dat["&amp;A3626&amp;"]   &lt;= 24'h0;"</f>
        <v xml:space="preserve">            sr_paddr_dat[307]   &lt;= 24'h0;</v>
      </c>
    </row>
    <row r="3630" spans="1:2" x14ac:dyDescent="0.3">
      <c r="B3630" t="s">
        <v>2</v>
      </c>
    </row>
    <row r="3631" spans="1:2" x14ac:dyDescent="0.3">
      <c r="B3631" t="str">
        <f>"           if (PADDR_CNT == 7'd"&amp;A3626&amp;")"</f>
        <v xml:space="preserve">           if (PADDR_CNT == 7'd307)</v>
      </c>
    </row>
    <row r="3632" spans="1:2" x14ac:dyDescent="0.3">
      <c r="B3632" t="str">
        <f>"               sr_paddr_dat["&amp;A3626&amp;"]  &lt;= sr_page_paddr_buf;"</f>
        <v xml:space="preserve">               sr_paddr_dat[307]  &lt;= sr_page_paddr_buf;</v>
      </c>
    </row>
    <row r="3633" spans="1:2" x14ac:dyDescent="0.3">
      <c r="B3633" t="s">
        <v>3</v>
      </c>
    </row>
    <row r="3634" spans="1:2" x14ac:dyDescent="0.3">
      <c r="B3634" t="str">
        <f>"               sr_paddr_dat["&amp;A3626&amp;"]  &lt;= sr_paddr_dat["&amp;A3626&amp;"];"</f>
        <v xml:space="preserve">               sr_paddr_dat[307]  &lt;= sr_paddr_dat[307];</v>
      </c>
    </row>
    <row r="3635" spans="1:2" x14ac:dyDescent="0.3">
      <c r="B3635" t="s">
        <v>4</v>
      </c>
    </row>
    <row r="3636" spans="1:2" x14ac:dyDescent="0.3">
      <c r="B3636" t="s">
        <v>5</v>
      </c>
    </row>
    <row r="3638" spans="1:2" x14ac:dyDescent="0.3">
      <c r="A3638">
        <f>A3626+1</f>
        <v>308</v>
      </c>
      <c r="B3638" t="str">
        <f>"    // Page Address Resister"&amp;A3638</f>
        <v xml:space="preserve">    // Page Address Resister308</v>
      </c>
    </row>
    <row r="3639" spans="1:2" x14ac:dyDescent="0.3">
      <c r="A3639" t="str">
        <f>DEC2HEX(A3638)</f>
        <v>134</v>
      </c>
      <c r="B3639" t="s">
        <v>0</v>
      </c>
    </row>
    <row r="3640" spans="1:2" x14ac:dyDescent="0.3">
      <c r="B3640" t="s">
        <v>1</v>
      </c>
    </row>
    <row r="3641" spans="1:2" x14ac:dyDescent="0.3">
      <c r="B3641" t="str">
        <f>"            sr_paddr_dat["&amp;A3638&amp;"]   &lt;= 24'h0;"</f>
        <v xml:space="preserve">            sr_paddr_dat[308]   &lt;= 24'h0;</v>
      </c>
    </row>
    <row r="3642" spans="1:2" x14ac:dyDescent="0.3">
      <c r="B3642" t="s">
        <v>2</v>
      </c>
    </row>
    <row r="3643" spans="1:2" x14ac:dyDescent="0.3">
      <c r="B3643" t="str">
        <f>"           if (PADDR_CNT == 7'd"&amp;A3638&amp;")"</f>
        <v xml:space="preserve">           if (PADDR_CNT == 7'd308)</v>
      </c>
    </row>
    <row r="3644" spans="1:2" x14ac:dyDescent="0.3">
      <c r="B3644" t="str">
        <f>"               sr_paddr_dat["&amp;A3638&amp;"]  &lt;= sr_page_paddr_buf;"</f>
        <v xml:space="preserve">               sr_paddr_dat[308]  &lt;= sr_page_paddr_buf;</v>
      </c>
    </row>
    <row r="3645" spans="1:2" x14ac:dyDescent="0.3">
      <c r="B3645" t="s">
        <v>3</v>
      </c>
    </row>
    <row r="3646" spans="1:2" x14ac:dyDescent="0.3">
      <c r="B3646" t="str">
        <f>"               sr_paddr_dat["&amp;A3638&amp;"]  &lt;= sr_paddr_dat["&amp;A3638&amp;"];"</f>
        <v xml:space="preserve">               sr_paddr_dat[308]  &lt;= sr_paddr_dat[308];</v>
      </c>
    </row>
    <row r="3647" spans="1:2" x14ac:dyDescent="0.3">
      <c r="B3647" t="s">
        <v>4</v>
      </c>
    </row>
    <row r="3648" spans="1:2" x14ac:dyDescent="0.3">
      <c r="B3648" t="s">
        <v>5</v>
      </c>
    </row>
    <row r="3650" spans="1:2" x14ac:dyDescent="0.3">
      <c r="A3650">
        <f>A3638+1</f>
        <v>309</v>
      </c>
      <c r="B3650" t="str">
        <f>"    // Page Address Resister"&amp;A3650</f>
        <v xml:space="preserve">    // Page Address Resister309</v>
      </c>
    </row>
    <row r="3651" spans="1:2" x14ac:dyDescent="0.3">
      <c r="A3651" t="str">
        <f>DEC2HEX(A3650)</f>
        <v>135</v>
      </c>
      <c r="B3651" t="s">
        <v>0</v>
      </c>
    </row>
    <row r="3652" spans="1:2" x14ac:dyDescent="0.3">
      <c r="B3652" t="s">
        <v>1</v>
      </c>
    </row>
    <row r="3653" spans="1:2" x14ac:dyDescent="0.3">
      <c r="B3653" t="str">
        <f>"            sr_paddr_dat["&amp;A3650&amp;"]   &lt;= 24'h0;"</f>
        <v xml:space="preserve">            sr_paddr_dat[309]   &lt;= 24'h0;</v>
      </c>
    </row>
    <row r="3654" spans="1:2" x14ac:dyDescent="0.3">
      <c r="B3654" t="s">
        <v>2</v>
      </c>
    </row>
    <row r="3655" spans="1:2" x14ac:dyDescent="0.3">
      <c r="B3655" t="str">
        <f>"           if (PADDR_CNT == 7'd"&amp;A3650&amp;")"</f>
        <v xml:space="preserve">           if (PADDR_CNT == 7'd309)</v>
      </c>
    </row>
    <row r="3656" spans="1:2" x14ac:dyDescent="0.3">
      <c r="B3656" t="str">
        <f>"               sr_paddr_dat["&amp;A3650&amp;"]  &lt;= sr_page_paddr_buf;"</f>
        <v xml:space="preserve">               sr_paddr_dat[309]  &lt;= sr_page_paddr_buf;</v>
      </c>
    </row>
    <row r="3657" spans="1:2" x14ac:dyDescent="0.3">
      <c r="B3657" t="s">
        <v>3</v>
      </c>
    </row>
    <row r="3658" spans="1:2" x14ac:dyDescent="0.3">
      <c r="B3658" t="str">
        <f>"               sr_paddr_dat["&amp;A3650&amp;"]  &lt;= sr_paddr_dat["&amp;A3650&amp;"];"</f>
        <v xml:space="preserve">               sr_paddr_dat[309]  &lt;= sr_paddr_dat[309];</v>
      </c>
    </row>
    <row r="3659" spans="1:2" x14ac:dyDescent="0.3">
      <c r="B3659" t="s">
        <v>4</v>
      </c>
    </row>
    <row r="3660" spans="1:2" x14ac:dyDescent="0.3">
      <c r="B3660" t="s">
        <v>5</v>
      </c>
    </row>
    <row r="3662" spans="1:2" x14ac:dyDescent="0.3">
      <c r="A3662">
        <f>A3650+1</f>
        <v>310</v>
      </c>
      <c r="B3662" t="str">
        <f>"    // Page Address Resister"&amp;A3662</f>
        <v xml:space="preserve">    // Page Address Resister310</v>
      </c>
    </row>
    <row r="3663" spans="1:2" x14ac:dyDescent="0.3">
      <c r="A3663" t="str">
        <f>DEC2HEX(A3662)</f>
        <v>136</v>
      </c>
      <c r="B3663" t="s">
        <v>0</v>
      </c>
    </row>
    <row r="3664" spans="1:2" x14ac:dyDescent="0.3">
      <c r="B3664" t="s">
        <v>1</v>
      </c>
    </row>
    <row r="3665" spans="1:2" x14ac:dyDescent="0.3">
      <c r="B3665" t="str">
        <f>"            sr_paddr_dat["&amp;A3662&amp;"]   &lt;= 24'h0;"</f>
        <v xml:space="preserve">            sr_paddr_dat[310]   &lt;= 24'h0;</v>
      </c>
    </row>
    <row r="3666" spans="1:2" x14ac:dyDescent="0.3">
      <c r="B3666" t="s">
        <v>2</v>
      </c>
    </row>
    <row r="3667" spans="1:2" x14ac:dyDescent="0.3">
      <c r="B3667" t="str">
        <f>"           if (PADDR_CNT == 7'd"&amp;A3662&amp;")"</f>
        <v xml:space="preserve">           if (PADDR_CNT == 7'd310)</v>
      </c>
    </row>
    <row r="3668" spans="1:2" x14ac:dyDescent="0.3">
      <c r="B3668" t="str">
        <f>"               sr_paddr_dat["&amp;A3662&amp;"]  &lt;= sr_page_paddr_buf;"</f>
        <v xml:space="preserve">               sr_paddr_dat[310]  &lt;= sr_page_paddr_buf;</v>
      </c>
    </row>
    <row r="3669" spans="1:2" x14ac:dyDescent="0.3">
      <c r="B3669" t="s">
        <v>3</v>
      </c>
    </row>
    <row r="3670" spans="1:2" x14ac:dyDescent="0.3">
      <c r="B3670" t="str">
        <f>"               sr_paddr_dat["&amp;A3662&amp;"]  &lt;= sr_paddr_dat["&amp;A3662&amp;"];"</f>
        <v xml:space="preserve">               sr_paddr_dat[310]  &lt;= sr_paddr_dat[310];</v>
      </c>
    </row>
    <row r="3671" spans="1:2" x14ac:dyDescent="0.3">
      <c r="B3671" t="s">
        <v>4</v>
      </c>
    </row>
    <row r="3672" spans="1:2" x14ac:dyDescent="0.3">
      <c r="B3672" t="s">
        <v>5</v>
      </c>
    </row>
    <row r="3674" spans="1:2" x14ac:dyDescent="0.3">
      <c r="A3674">
        <f>A3662+1</f>
        <v>311</v>
      </c>
      <c r="B3674" t="str">
        <f>"    // Page Address Resister"&amp;A3674</f>
        <v xml:space="preserve">    // Page Address Resister311</v>
      </c>
    </row>
    <row r="3675" spans="1:2" x14ac:dyDescent="0.3">
      <c r="A3675" t="str">
        <f>DEC2HEX(A3674)</f>
        <v>137</v>
      </c>
      <c r="B3675" t="s">
        <v>0</v>
      </c>
    </row>
    <row r="3676" spans="1:2" x14ac:dyDescent="0.3">
      <c r="B3676" t="s">
        <v>1</v>
      </c>
    </row>
    <row r="3677" spans="1:2" x14ac:dyDescent="0.3">
      <c r="B3677" t="str">
        <f>"            sr_paddr_dat["&amp;A3674&amp;"]   &lt;= 24'h0;"</f>
        <v xml:space="preserve">            sr_paddr_dat[311]   &lt;= 24'h0;</v>
      </c>
    </row>
    <row r="3678" spans="1:2" x14ac:dyDescent="0.3">
      <c r="B3678" t="s">
        <v>2</v>
      </c>
    </row>
    <row r="3679" spans="1:2" x14ac:dyDescent="0.3">
      <c r="B3679" t="str">
        <f>"           if (PADDR_CNT == 7'd"&amp;A3674&amp;")"</f>
        <v xml:space="preserve">           if (PADDR_CNT == 7'd311)</v>
      </c>
    </row>
    <row r="3680" spans="1:2" x14ac:dyDescent="0.3">
      <c r="B3680" t="str">
        <f>"               sr_paddr_dat["&amp;A3674&amp;"]  &lt;= sr_page_paddr_buf;"</f>
        <v xml:space="preserve">               sr_paddr_dat[311]  &lt;= sr_page_paddr_buf;</v>
      </c>
    </row>
    <row r="3681" spans="1:2" x14ac:dyDescent="0.3">
      <c r="B3681" t="s">
        <v>3</v>
      </c>
    </row>
    <row r="3682" spans="1:2" x14ac:dyDescent="0.3">
      <c r="B3682" t="str">
        <f>"               sr_paddr_dat["&amp;A3674&amp;"]  &lt;= sr_paddr_dat["&amp;A3674&amp;"];"</f>
        <v xml:space="preserve">               sr_paddr_dat[311]  &lt;= sr_paddr_dat[311];</v>
      </c>
    </row>
    <row r="3683" spans="1:2" x14ac:dyDescent="0.3">
      <c r="B3683" t="s">
        <v>4</v>
      </c>
    </row>
    <row r="3684" spans="1:2" x14ac:dyDescent="0.3">
      <c r="B3684" t="s">
        <v>5</v>
      </c>
    </row>
    <row r="3686" spans="1:2" x14ac:dyDescent="0.3">
      <c r="A3686">
        <f>A3674+1</f>
        <v>312</v>
      </c>
      <c r="B3686" t="str">
        <f>"    // Page Address Resister"&amp;A3686</f>
        <v xml:space="preserve">    // Page Address Resister312</v>
      </c>
    </row>
    <row r="3687" spans="1:2" x14ac:dyDescent="0.3">
      <c r="A3687" t="str">
        <f>DEC2HEX(A3686)</f>
        <v>138</v>
      </c>
      <c r="B3687" t="s">
        <v>0</v>
      </c>
    </row>
    <row r="3688" spans="1:2" x14ac:dyDescent="0.3">
      <c r="B3688" t="s">
        <v>1</v>
      </c>
    </row>
    <row r="3689" spans="1:2" x14ac:dyDescent="0.3">
      <c r="B3689" t="str">
        <f>"            sr_paddr_dat["&amp;A3686&amp;"]   &lt;= 24'h0;"</f>
        <v xml:space="preserve">            sr_paddr_dat[312]   &lt;= 24'h0;</v>
      </c>
    </row>
    <row r="3690" spans="1:2" x14ac:dyDescent="0.3">
      <c r="B3690" t="s">
        <v>2</v>
      </c>
    </row>
    <row r="3691" spans="1:2" x14ac:dyDescent="0.3">
      <c r="B3691" t="str">
        <f>"           if (PADDR_CNT == 7'd"&amp;A3686&amp;")"</f>
        <v xml:space="preserve">           if (PADDR_CNT == 7'd312)</v>
      </c>
    </row>
    <row r="3692" spans="1:2" x14ac:dyDescent="0.3">
      <c r="B3692" t="str">
        <f>"               sr_paddr_dat["&amp;A3686&amp;"]  &lt;= sr_page_paddr_buf;"</f>
        <v xml:space="preserve">               sr_paddr_dat[312]  &lt;= sr_page_paddr_buf;</v>
      </c>
    </row>
    <row r="3693" spans="1:2" x14ac:dyDescent="0.3">
      <c r="B3693" t="s">
        <v>3</v>
      </c>
    </row>
    <row r="3694" spans="1:2" x14ac:dyDescent="0.3">
      <c r="B3694" t="str">
        <f>"               sr_paddr_dat["&amp;A3686&amp;"]  &lt;= sr_paddr_dat["&amp;A3686&amp;"];"</f>
        <v xml:space="preserve">               sr_paddr_dat[312]  &lt;= sr_paddr_dat[312];</v>
      </c>
    </row>
    <row r="3695" spans="1:2" x14ac:dyDescent="0.3">
      <c r="B3695" t="s">
        <v>4</v>
      </c>
    </row>
    <row r="3696" spans="1:2" x14ac:dyDescent="0.3">
      <c r="B3696" t="s">
        <v>5</v>
      </c>
    </row>
    <row r="3698" spans="1:2" x14ac:dyDescent="0.3">
      <c r="A3698">
        <f>A3686+1</f>
        <v>313</v>
      </c>
      <c r="B3698" t="str">
        <f>"    // Page Address Resister"&amp;A3698</f>
        <v xml:space="preserve">    // Page Address Resister313</v>
      </c>
    </row>
    <row r="3699" spans="1:2" x14ac:dyDescent="0.3">
      <c r="A3699" t="str">
        <f>DEC2HEX(A3698)</f>
        <v>139</v>
      </c>
      <c r="B3699" t="s">
        <v>0</v>
      </c>
    </row>
    <row r="3700" spans="1:2" x14ac:dyDescent="0.3">
      <c r="B3700" t="s">
        <v>1</v>
      </c>
    </row>
    <row r="3701" spans="1:2" x14ac:dyDescent="0.3">
      <c r="B3701" t="str">
        <f>"            sr_paddr_dat["&amp;A3698&amp;"]   &lt;= 24'h0;"</f>
        <v xml:space="preserve">            sr_paddr_dat[313]   &lt;= 24'h0;</v>
      </c>
    </row>
    <row r="3702" spans="1:2" x14ac:dyDescent="0.3">
      <c r="B3702" t="s">
        <v>2</v>
      </c>
    </row>
    <row r="3703" spans="1:2" x14ac:dyDescent="0.3">
      <c r="B3703" t="str">
        <f>"           if (PADDR_CNT == 7'd"&amp;A3698&amp;")"</f>
        <v xml:space="preserve">           if (PADDR_CNT == 7'd313)</v>
      </c>
    </row>
    <row r="3704" spans="1:2" x14ac:dyDescent="0.3">
      <c r="B3704" t="str">
        <f>"               sr_paddr_dat["&amp;A3698&amp;"]  &lt;= sr_page_paddr_buf;"</f>
        <v xml:space="preserve">               sr_paddr_dat[313]  &lt;= sr_page_paddr_buf;</v>
      </c>
    </row>
    <row r="3705" spans="1:2" x14ac:dyDescent="0.3">
      <c r="B3705" t="s">
        <v>3</v>
      </c>
    </row>
    <row r="3706" spans="1:2" x14ac:dyDescent="0.3">
      <c r="B3706" t="str">
        <f>"               sr_paddr_dat["&amp;A3698&amp;"]  &lt;= sr_paddr_dat["&amp;A3698&amp;"];"</f>
        <v xml:space="preserve">               sr_paddr_dat[313]  &lt;= sr_paddr_dat[313];</v>
      </c>
    </row>
    <row r="3707" spans="1:2" x14ac:dyDescent="0.3">
      <c r="B3707" t="s">
        <v>4</v>
      </c>
    </row>
    <row r="3708" spans="1:2" x14ac:dyDescent="0.3">
      <c r="B3708" t="s">
        <v>5</v>
      </c>
    </row>
    <row r="3710" spans="1:2" x14ac:dyDescent="0.3">
      <c r="A3710">
        <f>A3698+1</f>
        <v>314</v>
      </c>
      <c r="B3710" t="str">
        <f>"    // Page Address Resister"&amp;A3710</f>
        <v xml:space="preserve">    // Page Address Resister314</v>
      </c>
    </row>
    <row r="3711" spans="1:2" x14ac:dyDescent="0.3">
      <c r="A3711" t="str">
        <f>DEC2HEX(A3710)</f>
        <v>13A</v>
      </c>
      <c r="B3711" t="s">
        <v>0</v>
      </c>
    </row>
    <row r="3712" spans="1:2" x14ac:dyDescent="0.3">
      <c r="B3712" t="s">
        <v>1</v>
      </c>
    </row>
    <row r="3713" spans="1:2" x14ac:dyDescent="0.3">
      <c r="B3713" t="str">
        <f>"            sr_paddr_dat["&amp;A3710&amp;"]   &lt;= 24'h0;"</f>
        <v xml:space="preserve">            sr_paddr_dat[314]   &lt;= 24'h0;</v>
      </c>
    </row>
    <row r="3714" spans="1:2" x14ac:dyDescent="0.3">
      <c r="B3714" t="s">
        <v>2</v>
      </c>
    </row>
    <row r="3715" spans="1:2" x14ac:dyDescent="0.3">
      <c r="B3715" t="str">
        <f>"           if (PADDR_CNT == 7'd"&amp;A3710&amp;")"</f>
        <v xml:space="preserve">           if (PADDR_CNT == 7'd314)</v>
      </c>
    </row>
    <row r="3716" spans="1:2" x14ac:dyDescent="0.3">
      <c r="B3716" t="str">
        <f>"               sr_paddr_dat["&amp;A3710&amp;"]  &lt;= sr_page_paddr_buf;"</f>
        <v xml:space="preserve">               sr_paddr_dat[314]  &lt;= sr_page_paddr_buf;</v>
      </c>
    </row>
    <row r="3717" spans="1:2" x14ac:dyDescent="0.3">
      <c r="B3717" t="s">
        <v>3</v>
      </c>
    </row>
    <row r="3718" spans="1:2" x14ac:dyDescent="0.3">
      <c r="B3718" t="str">
        <f>"               sr_paddr_dat["&amp;A3710&amp;"]  &lt;= sr_paddr_dat["&amp;A3710&amp;"];"</f>
        <v xml:space="preserve">               sr_paddr_dat[314]  &lt;= sr_paddr_dat[314];</v>
      </c>
    </row>
    <row r="3719" spans="1:2" x14ac:dyDescent="0.3">
      <c r="B3719" t="s">
        <v>4</v>
      </c>
    </row>
    <row r="3720" spans="1:2" x14ac:dyDescent="0.3">
      <c r="B3720" t="s">
        <v>5</v>
      </c>
    </row>
    <row r="3722" spans="1:2" x14ac:dyDescent="0.3">
      <c r="A3722">
        <f>A3710+1</f>
        <v>315</v>
      </c>
      <c r="B3722" t="str">
        <f>"    // Page Address Resister"&amp;A3722</f>
        <v xml:space="preserve">    // Page Address Resister315</v>
      </c>
    </row>
    <row r="3723" spans="1:2" x14ac:dyDescent="0.3">
      <c r="A3723" t="str">
        <f>DEC2HEX(A3722)</f>
        <v>13B</v>
      </c>
      <c r="B3723" t="s">
        <v>0</v>
      </c>
    </row>
    <row r="3724" spans="1:2" x14ac:dyDescent="0.3">
      <c r="B3724" t="s">
        <v>1</v>
      </c>
    </row>
    <row r="3725" spans="1:2" x14ac:dyDescent="0.3">
      <c r="B3725" t="str">
        <f>"            sr_paddr_dat["&amp;A3722&amp;"]   &lt;= 24'h0;"</f>
        <v xml:space="preserve">            sr_paddr_dat[315]   &lt;= 24'h0;</v>
      </c>
    </row>
    <row r="3726" spans="1:2" x14ac:dyDescent="0.3">
      <c r="B3726" t="s">
        <v>2</v>
      </c>
    </row>
    <row r="3727" spans="1:2" x14ac:dyDescent="0.3">
      <c r="B3727" t="str">
        <f>"           if (PADDR_CNT == 7'd"&amp;A3722&amp;")"</f>
        <v xml:space="preserve">           if (PADDR_CNT == 7'd315)</v>
      </c>
    </row>
    <row r="3728" spans="1:2" x14ac:dyDescent="0.3">
      <c r="B3728" t="str">
        <f>"               sr_paddr_dat["&amp;A3722&amp;"]  &lt;= sr_page_paddr_buf;"</f>
        <v xml:space="preserve">               sr_paddr_dat[315]  &lt;= sr_page_paddr_buf;</v>
      </c>
    </row>
    <row r="3729" spans="1:2" x14ac:dyDescent="0.3">
      <c r="B3729" t="s">
        <v>3</v>
      </c>
    </row>
    <row r="3730" spans="1:2" x14ac:dyDescent="0.3">
      <c r="B3730" t="str">
        <f>"               sr_paddr_dat["&amp;A3722&amp;"]  &lt;= sr_paddr_dat["&amp;A3722&amp;"];"</f>
        <v xml:space="preserve">               sr_paddr_dat[315]  &lt;= sr_paddr_dat[315];</v>
      </c>
    </row>
    <row r="3731" spans="1:2" x14ac:dyDescent="0.3">
      <c r="B3731" t="s">
        <v>4</v>
      </c>
    </row>
    <row r="3732" spans="1:2" x14ac:dyDescent="0.3">
      <c r="B3732" t="s">
        <v>5</v>
      </c>
    </row>
    <row r="3734" spans="1:2" x14ac:dyDescent="0.3">
      <c r="A3734">
        <f>A3722+1</f>
        <v>316</v>
      </c>
      <c r="B3734" t="str">
        <f>"    // Page Address Resister"&amp;A3734</f>
        <v xml:space="preserve">    // Page Address Resister316</v>
      </c>
    </row>
    <row r="3735" spans="1:2" x14ac:dyDescent="0.3">
      <c r="A3735" t="str">
        <f>DEC2HEX(A3734)</f>
        <v>13C</v>
      </c>
      <c r="B3735" t="s">
        <v>0</v>
      </c>
    </row>
    <row r="3736" spans="1:2" x14ac:dyDescent="0.3">
      <c r="B3736" t="s">
        <v>1</v>
      </c>
    </row>
    <row r="3737" spans="1:2" x14ac:dyDescent="0.3">
      <c r="B3737" t="str">
        <f>"            sr_paddr_dat["&amp;A3734&amp;"]   &lt;= 24'h0;"</f>
        <v xml:space="preserve">            sr_paddr_dat[316]   &lt;= 24'h0;</v>
      </c>
    </row>
    <row r="3738" spans="1:2" x14ac:dyDescent="0.3">
      <c r="B3738" t="s">
        <v>2</v>
      </c>
    </row>
    <row r="3739" spans="1:2" x14ac:dyDescent="0.3">
      <c r="B3739" t="str">
        <f>"           if (PADDR_CNT == 7'd"&amp;A3734&amp;")"</f>
        <v xml:space="preserve">           if (PADDR_CNT == 7'd316)</v>
      </c>
    </row>
    <row r="3740" spans="1:2" x14ac:dyDescent="0.3">
      <c r="B3740" t="str">
        <f>"               sr_paddr_dat["&amp;A3734&amp;"]  &lt;= sr_page_paddr_buf;"</f>
        <v xml:space="preserve">               sr_paddr_dat[316]  &lt;= sr_page_paddr_buf;</v>
      </c>
    </row>
    <row r="3741" spans="1:2" x14ac:dyDescent="0.3">
      <c r="B3741" t="s">
        <v>3</v>
      </c>
    </row>
    <row r="3742" spans="1:2" x14ac:dyDescent="0.3">
      <c r="B3742" t="str">
        <f>"               sr_paddr_dat["&amp;A3734&amp;"]  &lt;= sr_paddr_dat["&amp;A3734&amp;"];"</f>
        <v xml:space="preserve">               sr_paddr_dat[316]  &lt;= sr_paddr_dat[316];</v>
      </c>
    </row>
    <row r="3743" spans="1:2" x14ac:dyDescent="0.3">
      <c r="B3743" t="s">
        <v>4</v>
      </c>
    </row>
    <row r="3744" spans="1:2" x14ac:dyDescent="0.3">
      <c r="B3744" t="s">
        <v>5</v>
      </c>
    </row>
    <row r="3746" spans="1:2" x14ac:dyDescent="0.3">
      <c r="A3746">
        <f>A3734+1</f>
        <v>317</v>
      </c>
      <c r="B3746" t="str">
        <f>"    // Page Address Resister"&amp;A3746</f>
        <v xml:space="preserve">    // Page Address Resister317</v>
      </c>
    </row>
    <row r="3747" spans="1:2" x14ac:dyDescent="0.3">
      <c r="A3747" t="str">
        <f>DEC2HEX(A3746)</f>
        <v>13D</v>
      </c>
      <c r="B3747" t="s">
        <v>0</v>
      </c>
    </row>
    <row r="3748" spans="1:2" x14ac:dyDescent="0.3">
      <c r="B3748" t="s">
        <v>1</v>
      </c>
    </row>
    <row r="3749" spans="1:2" x14ac:dyDescent="0.3">
      <c r="B3749" t="str">
        <f>"            sr_paddr_dat["&amp;A3746&amp;"]   &lt;= 24'h0;"</f>
        <v xml:space="preserve">            sr_paddr_dat[317]   &lt;= 24'h0;</v>
      </c>
    </row>
    <row r="3750" spans="1:2" x14ac:dyDescent="0.3">
      <c r="B3750" t="s">
        <v>2</v>
      </c>
    </row>
    <row r="3751" spans="1:2" x14ac:dyDescent="0.3">
      <c r="B3751" t="str">
        <f>"           if (PADDR_CNT == 7'd"&amp;A3746&amp;")"</f>
        <v xml:space="preserve">           if (PADDR_CNT == 7'd317)</v>
      </c>
    </row>
    <row r="3752" spans="1:2" x14ac:dyDescent="0.3">
      <c r="B3752" t="str">
        <f>"               sr_paddr_dat["&amp;A3746&amp;"]  &lt;= sr_page_paddr_buf;"</f>
        <v xml:space="preserve">               sr_paddr_dat[317]  &lt;= sr_page_paddr_buf;</v>
      </c>
    </row>
    <row r="3753" spans="1:2" x14ac:dyDescent="0.3">
      <c r="B3753" t="s">
        <v>3</v>
      </c>
    </row>
    <row r="3754" spans="1:2" x14ac:dyDescent="0.3">
      <c r="B3754" t="str">
        <f>"               sr_paddr_dat["&amp;A3746&amp;"]  &lt;= sr_paddr_dat["&amp;A3746&amp;"];"</f>
        <v xml:space="preserve">               sr_paddr_dat[317]  &lt;= sr_paddr_dat[317];</v>
      </c>
    </row>
    <row r="3755" spans="1:2" x14ac:dyDescent="0.3">
      <c r="B3755" t="s">
        <v>4</v>
      </c>
    </row>
    <row r="3756" spans="1:2" x14ac:dyDescent="0.3">
      <c r="B3756" t="s">
        <v>5</v>
      </c>
    </row>
    <row r="3758" spans="1:2" x14ac:dyDescent="0.3">
      <c r="A3758">
        <f>A3746+1</f>
        <v>318</v>
      </c>
      <c r="B3758" t="str">
        <f>"    // Page Address Resister"&amp;A3758</f>
        <v xml:space="preserve">    // Page Address Resister318</v>
      </c>
    </row>
    <row r="3759" spans="1:2" x14ac:dyDescent="0.3">
      <c r="A3759" t="str">
        <f>DEC2HEX(A3758)</f>
        <v>13E</v>
      </c>
      <c r="B3759" t="s">
        <v>0</v>
      </c>
    </row>
    <row r="3760" spans="1:2" x14ac:dyDescent="0.3">
      <c r="B3760" t="s">
        <v>1</v>
      </c>
    </row>
    <row r="3761" spans="1:2" x14ac:dyDescent="0.3">
      <c r="B3761" t="str">
        <f>"            sr_paddr_dat["&amp;A3758&amp;"]   &lt;= 24'h0;"</f>
        <v xml:space="preserve">            sr_paddr_dat[318]   &lt;= 24'h0;</v>
      </c>
    </row>
    <row r="3762" spans="1:2" x14ac:dyDescent="0.3">
      <c r="B3762" t="s">
        <v>2</v>
      </c>
    </row>
    <row r="3763" spans="1:2" x14ac:dyDescent="0.3">
      <c r="B3763" t="str">
        <f>"           if (PADDR_CNT == 7'd"&amp;A3758&amp;")"</f>
        <v xml:space="preserve">           if (PADDR_CNT == 7'd318)</v>
      </c>
    </row>
    <row r="3764" spans="1:2" x14ac:dyDescent="0.3">
      <c r="B3764" t="str">
        <f>"               sr_paddr_dat["&amp;A3758&amp;"]  &lt;= sr_page_paddr_buf;"</f>
        <v xml:space="preserve">               sr_paddr_dat[318]  &lt;= sr_page_paddr_buf;</v>
      </c>
    </row>
    <row r="3765" spans="1:2" x14ac:dyDescent="0.3">
      <c r="B3765" t="s">
        <v>3</v>
      </c>
    </row>
    <row r="3766" spans="1:2" x14ac:dyDescent="0.3">
      <c r="B3766" t="str">
        <f>"               sr_paddr_dat["&amp;A3758&amp;"]  &lt;= sr_paddr_dat["&amp;A3758&amp;"];"</f>
        <v xml:space="preserve">               sr_paddr_dat[318]  &lt;= sr_paddr_dat[318];</v>
      </c>
    </row>
    <row r="3767" spans="1:2" x14ac:dyDescent="0.3">
      <c r="B3767" t="s">
        <v>4</v>
      </c>
    </row>
    <row r="3768" spans="1:2" x14ac:dyDescent="0.3">
      <c r="B3768" t="s">
        <v>5</v>
      </c>
    </row>
    <row r="3770" spans="1:2" x14ac:dyDescent="0.3">
      <c r="A3770">
        <f>A3758+1</f>
        <v>319</v>
      </c>
      <c r="B3770" t="str">
        <f>"    // Page Address Resister"&amp;A3770</f>
        <v xml:space="preserve">    // Page Address Resister319</v>
      </c>
    </row>
    <row r="3771" spans="1:2" x14ac:dyDescent="0.3">
      <c r="A3771" t="str">
        <f>DEC2HEX(A3770)</f>
        <v>13F</v>
      </c>
      <c r="B3771" t="s">
        <v>0</v>
      </c>
    </row>
    <row r="3772" spans="1:2" x14ac:dyDescent="0.3">
      <c r="B3772" t="s">
        <v>1</v>
      </c>
    </row>
    <row r="3773" spans="1:2" x14ac:dyDescent="0.3">
      <c r="B3773" t="str">
        <f>"            sr_paddr_dat["&amp;A3770&amp;"]   &lt;= 24'h0;"</f>
        <v xml:space="preserve">            sr_paddr_dat[319]   &lt;= 24'h0;</v>
      </c>
    </row>
    <row r="3774" spans="1:2" x14ac:dyDescent="0.3">
      <c r="B3774" t="s">
        <v>2</v>
      </c>
    </row>
    <row r="3775" spans="1:2" x14ac:dyDescent="0.3">
      <c r="B3775" t="str">
        <f>"           if (PADDR_CNT == 7'd"&amp;A3770&amp;")"</f>
        <v xml:space="preserve">           if (PADDR_CNT == 7'd319)</v>
      </c>
    </row>
    <row r="3776" spans="1:2" x14ac:dyDescent="0.3">
      <c r="B3776" t="str">
        <f>"               sr_paddr_dat["&amp;A3770&amp;"]  &lt;= sr_page_paddr_buf;"</f>
        <v xml:space="preserve">               sr_paddr_dat[319]  &lt;= sr_page_paddr_buf;</v>
      </c>
    </row>
    <row r="3777" spans="1:2" x14ac:dyDescent="0.3">
      <c r="B3777" t="s">
        <v>3</v>
      </c>
    </row>
    <row r="3778" spans="1:2" x14ac:dyDescent="0.3">
      <c r="B3778" t="str">
        <f>"               sr_paddr_dat["&amp;A3770&amp;"]  &lt;= sr_paddr_dat["&amp;A3770&amp;"];"</f>
        <v xml:space="preserve">               sr_paddr_dat[319]  &lt;= sr_paddr_dat[319];</v>
      </c>
    </row>
    <row r="3779" spans="1:2" x14ac:dyDescent="0.3">
      <c r="B3779" t="s">
        <v>4</v>
      </c>
    </row>
    <row r="3780" spans="1:2" x14ac:dyDescent="0.3">
      <c r="B3780" t="s">
        <v>5</v>
      </c>
    </row>
    <row r="3782" spans="1:2" x14ac:dyDescent="0.3">
      <c r="A3782">
        <f>A3770+1</f>
        <v>320</v>
      </c>
      <c r="B3782" t="str">
        <f>"    // Page Address Resister"&amp;A3782</f>
        <v xml:space="preserve">    // Page Address Resister320</v>
      </c>
    </row>
    <row r="3783" spans="1:2" x14ac:dyDescent="0.3">
      <c r="A3783" t="str">
        <f>DEC2HEX(A3782)</f>
        <v>140</v>
      </c>
      <c r="B3783" t="s">
        <v>0</v>
      </c>
    </row>
    <row r="3784" spans="1:2" x14ac:dyDescent="0.3">
      <c r="B3784" t="s">
        <v>1</v>
      </c>
    </row>
    <row r="3785" spans="1:2" x14ac:dyDescent="0.3">
      <c r="B3785" t="str">
        <f>"            sr_paddr_dat["&amp;A3782&amp;"]   &lt;= 24'h0;"</f>
        <v xml:space="preserve">            sr_paddr_dat[320]   &lt;= 24'h0;</v>
      </c>
    </row>
    <row r="3786" spans="1:2" x14ac:dyDescent="0.3">
      <c r="B3786" t="s">
        <v>2</v>
      </c>
    </row>
    <row r="3787" spans="1:2" x14ac:dyDescent="0.3">
      <c r="B3787" t="str">
        <f>"           if (PADDR_CNT == 7'd"&amp;A3782&amp;")"</f>
        <v xml:space="preserve">           if (PADDR_CNT == 7'd320)</v>
      </c>
    </row>
    <row r="3788" spans="1:2" x14ac:dyDescent="0.3">
      <c r="B3788" t="str">
        <f>"               sr_paddr_dat["&amp;A3782&amp;"]  &lt;= sr_page_paddr_buf;"</f>
        <v xml:space="preserve">               sr_paddr_dat[320]  &lt;= sr_page_paddr_buf;</v>
      </c>
    </row>
    <row r="3789" spans="1:2" x14ac:dyDescent="0.3">
      <c r="B3789" t="s">
        <v>3</v>
      </c>
    </row>
    <row r="3790" spans="1:2" x14ac:dyDescent="0.3">
      <c r="B3790" t="str">
        <f>"               sr_paddr_dat["&amp;A3782&amp;"]  &lt;= sr_paddr_dat["&amp;A3782&amp;"];"</f>
        <v xml:space="preserve">               sr_paddr_dat[320]  &lt;= sr_paddr_dat[320];</v>
      </c>
    </row>
    <row r="3791" spans="1:2" x14ac:dyDescent="0.3">
      <c r="B3791" t="s">
        <v>4</v>
      </c>
    </row>
    <row r="3792" spans="1:2" x14ac:dyDescent="0.3">
      <c r="B3792" t="s">
        <v>5</v>
      </c>
    </row>
    <row r="3794" spans="1:2" x14ac:dyDescent="0.3">
      <c r="A3794">
        <f>A3782+1</f>
        <v>321</v>
      </c>
      <c r="B3794" t="str">
        <f>"    // Page Address Resister"&amp;A3794</f>
        <v xml:space="preserve">    // Page Address Resister321</v>
      </c>
    </row>
    <row r="3795" spans="1:2" x14ac:dyDescent="0.3">
      <c r="A3795" t="str">
        <f>DEC2HEX(A3794)</f>
        <v>141</v>
      </c>
      <c r="B3795" t="s">
        <v>0</v>
      </c>
    </row>
    <row r="3796" spans="1:2" x14ac:dyDescent="0.3">
      <c r="B3796" t="s">
        <v>1</v>
      </c>
    </row>
    <row r="3797" spans="1:2" x14ac:dyDescent="0.3">
      <c r="B3797" t="str">
        <f>"            sr_paddr_dat["&amp;A3794&amp;"]   &lt;= 24'h0;"</f>
        <v xml:space="preserve">            sr_paddr_dat[321]   &lt;= 24'h0;</v>
      </c>
    </row>
    <row r="3798" spans="1:2" x14ac:dyDescent="0.3">
      <c r="B3798" t="s">
        <v>2</v>
      </c>
    </row>
    <row r="3799" spans="1:2" x14ac:dyDescent="0.3">
      <c r="B3799" t="str">
        <f>"           if (PADDR_CNT == 7'd"&amp;A3794&amp;")"</f>
        <v xml:space="preserve">           if (PADDR_CNT == 7'd321)</v>
      </c>
    </row>
    <row r="3800" spans="1:2" x14ac:dyDescent="0.3">
      <c r="B3800" t="str">
        <f>"               sr_paddr_dat["&amp;A3794&amp;"]  &lt;= sr_page_paddr_buf;"</f>
        <v xml:space="preserve">               sr_paddr_dat[321]  &lt;= sr_page_paddr_buf;</v>
      </c>
    </row>
    <row r="3801" spans="1:2" x14ac:dyDescent="0.3">
      <c r="B3801" t="s">
        <v>3</v>
      </c>
    </row>
    <row r="3802" spans="1:2" x14ac:dyDescent="0.3">
      <c r="B3802" t="str">
        <f>"               sr_paddr_dat["&amp;A3794&amp;"]  &lt;= sr_paddr_dat["&amp;A3794&amp;"];"</f>
        <v xml:space="preserve">               sr_paddr_dat[321]  &lt;= sr_paddr_dat[321];</v>
      </c>
    </row>
    <row r="3803" spans="1:2" x14ac:dyDescent="0.3">
      <c r="B3803" t="s">
        <v>4</v>
      </c>
    </row>
    <row r="3804" spans="1:2" x14ac:dyDescent="0.3">
      <c r="B3804" t="s">
        <v>5</v>
      </c>
    </row>
    <row r="3806" spans="1:2" x14ac:dyDescent="0.3">
      <c r="A3806">
        <f>A3794+1</f>
        <v>322</v>
      </c>
      <c r="B3806" t="str">
        <f>"    // Page Address Resister"&amp;A3806</f>
        <v xml:space="preserve">    // Page Address Resister322</v>
      </c>
    </row>
    <row r="3807" spans="1:2" x14ac:dyDescent="0.3">
      <c r="A3807" t="str">
        <f>DEC2HEX(A3806)</f>
        <v>142</v>
      </c>
      <c r="B3807" t="s">
        <v>0</v>
      </c>
    </row>
    <row r="3808" spans="1:2" x14ac:dyDescent="0.3">
      <c r="B3808" t="s">
        <v>1</v>
      </c>
    </row>
    <row r="3809" spans="1:2" x14ac:dyDescent="0.3">
      <c r="B3809" t="str">
        <f>"            sr_paddr_dat["&amp;A3806&amp;"]   &lt;= 24'h0;"</f>
        <v xml:space="preserve">            sr_paddr_dat[322]   &lt;= 24'h0;</v>
      </c>
    </row>
    <row r="3810" spans="1:2" x14ac:dyDescent="0.3">
      <c r="B3810" t="s">
        <v>2</v>
      </c>
    </row>
    <row r="3811" spans="1:2" x14ac:dyDescent="0.3">
      <c r="B3811" t="str">
        <f>"           if (PADDR_CNT == 7'd"&amp;A3806&amp;")"</f>
        <v xml:space="preserve">           if (PADDR_CNT == 7'd322)</v>
      </c>
    </row>
    <row r="3812" spans="1:2" x14ac:dyDescent="0.3">
      <c r="B3812" t="str">
        <f>"               sr_paddr_dat["&amp;A3806&amp;"]  &lt;= sr_page_paddr_buf;"</f>
        <v xml:space="preserve">               sr_paddr_dat[322]  &lt;= sr_page_paddr_buf;</v>
      </c>
    </row>
    <row r="3813" spans="1:2" x14ac:dyDescent="0.3">
      <c r="B3813" t="s">
        <v>3</v>
      </c>
    </row>
    <row r="3814" spans="1:2" x14ac:dyDescent="0.3">
      <c r="B3814" t="str">
        <f>"               sr_paddr_dat["&amp;A3806&amp;"]  &lt;= sr_paddr_dat["&amp;A3806&amp;"];"</f>
        <v xml:space="preserve">               sr_paddr_dat[322]  &lt;= sr_paddr_dat[322];</v>
      </c>
    </row>
    <row r="3815" spans="1:2" x14ac:dyDescent="0.3">
      <c r="B3815" t="s">
        <v>4</v>
      </c>
    </row>
    <row r="3816" spans="1:2" x14ac:dyDescent="0.3">
      <c r="B3816" t="s">
        <v>5</v>
      </c>
    </row>
    <row r="3818" spans="1:2" x14ac:dyDescent="0.3">
      <c r="A3818">
        <f>A3806+1</f>
        <v>323</v>
      </c>
      <c r="B3818" t="str">
        <f>"    // Page Address Resister"&amp;A3818</f>
        <v xml:space="preserve">    // Page Address Resister323</v>
      </c>
    </row>
    <row r="3819" spans="1:2" x14ac:dyDescent="0.3">
      <c r="A3819" t="str">
        <f>DEC2HEX(A3818)</f>
        <v>143</v>
      </c>
      <c r="B3819" t="s">
        <v>0</v>
      </c>
    </row>
    <row r="3820" spans="1:2" x14ac:dyDescent="0.3">
      <c r="B3820" t="s">
        <v>1</v>
      </c>
    </row>
    <row r="3821" spans="1:2" x14ac:dyDescent="0.3">
      <c r="B3821" t="str">
        <f>"            sr_paddr_dat["&amp;A3818&amp;"]   &lt;= 24'h0;"</f>
        <v xml:space="preserve">            sr_paddr_dat[323]   &lt;= 24'h0;</v>
      </c>
    </row>
    <row r="3822" spans="1:2" x14ac:dyDescent="0.3">
      <c r="B3822" t="s">
        <v>2</v>
      </c>
    </row>
    <row r="3823" spans="1:2" x14ac:dyDescent="0.3">
      <c r="B3823" t="str">
        <f>"           if (PADDR_CNT == 7'd"&amp;A3818&amp;")"</f>
        <v xml:space="preserve">           if (PADDR_CNT == 7'd323)</v>
      </c>
    </row>
    <row r="3824" spans="1:2" x14ac:dyDescent="0.3">
      <c r="B3824" t="str">
        <f>"               sr_paddr_dat["&amp;A3818&amp;"]  &lt;= sr_page_paddr_buf;"</f>
        <v xml:space="preserve">               sr_paddr_dat[323]  &lt;= sr_page_paddr_buf;</v>
      </c>
    </row>
    <row r="3825" spans="1:2" x14ac:dyDescent="0.3">
      <c r="B3825" t="s">
        <v>3</v>
      </c>
    </row>
    <row r="3826" spans="1:2" x14ac:dyDescent="0.3">
      <c r="B3826" t="str">
        <f>"               sr_paddr_dat["&amp;A3818&amp;"]  &lt;= sr_paddr_dat["&amp;A3818&amp;"];"</f>
        <v xml:space="preserve">               sr_paddr_dat[323]  &lt;= sr_paddr_dat[323];</v>
      </c>
    </row>
    <row r="3827" spans="1:2" x14ac:dyDescent="0.3">
      <c r="B3827" t="s">
        <v>4</v>
      </c>
    </row>
    <row r="3828" spans="1:2" x14ac:dyDescent="0.3">
      <c r="B3828" t="s">
        <v>5</v>
      </c>
    </row>
    <row r="3830" spans="1:2" x14ac:dyDescent="0.3">
      <c r="A3830">
        <f>A3818+1</f>
        <v>324</v>
      </c>
      <c r="B3830" t="str">
        <f>"    // Page Address Resister"&amp;A3830</f>
        <v xml:space="preserve">    // Page Address Resister324</v>
      </c>
    </row>
    <row r="3831" spans="1:2" x14ac:dyDescent="0.3">
      <c r="A3831" t="str">
        <f>DEC2HEX(A3830)</f>
        <v>144</v>
      </c>
      <c r="B3831" t="s">
        <v>0</v>
      </c>
    </row>
    <row r="3832" spans="1:2" x14ac:dyDescent="0.3">
      <c r="B3832" t="s">
        <v>1</v>
      </c>
    </row>
    <row r="3833" spans="1:2" x14ac:dyDescent="0.3">
      <c r="B3833" t="str">
        <f>"            sr_paddr_dat["&amp;A3830&amp;"]   &lt;= 24'h0;"</f>
        <v xml:space="preserve">            sr_paddr_dat[324]   &lt;= 24'h0;</v>
      </c>
    </row>
    <row r="3834" spans="1:2" x14ac:dyDescent="0.3">
      <c r="B3834" t="s">
        <v>2</v>
      </c>
    </row>
    <row r="3835" spans="1:2" x14ac:dyDescent="0.3">
      <c r="B3835" t="str">
        <f>"           if (PADDR_CNT == 7'd"&amp;A3830&amp;")"</f>
        <v xml:space="preserve">           if (PADDR_CNT == 7'd324)</v>
      </c>
    </row>
    <row r="3836" spans="1:2" x14ac:dyDescent="0.3">
      <c r="B3836" t="str">
        <f>"               sr_paddr_dat["&amp;A3830&amp;"]  &lt;= sr_page_paddr_buf;"</f>
        <v xml:space="preserve">               sr_paddr_dat[324]  &lt;= sr_page_paddr_buf;</v>
      </c>
    </row>
    <row r="3837" spans="1:2" x14ac:dyDescent="0.3">
      <c r="B3837" t="s">
        <v>3</v>
      </c>
    </row>
    <row r="3838" spans="1:2" x14ac:dyDescent="0.3">
      <c r="B3838" t="str">
        <f>"               sr_paddr_dat["&amp;A3830&amp;"]  &lt;= sr_paddr_dat["&amp;A3830&amp;"];"</f>
        <v xml:space="preserve">               sr_paddr_dat[324]  &lt;= sr_paddr_dat[324];</v>
      </c>
    </row>
    <row r="3839" spans="1:2" x14ac:dyDescent="0.3">
      <c r="B3839" t="s">
        <v>4</v>
      </c>
    </row>
    <row r="3840" spans="1:2" x14ac:dyDescent="0.3">
      <c r="B3840" t="s">
        <v>5</v>
      </c>
    </row>
    <row r="3842" spans="1:2" x14ac:dyDescent="0.3">
      <c r="A3842">
        <f>A3830+1</f>
        <v>325</v>
      </c>
      <c r="B3842" t="str">
        <f>"    // Page Address Resister"&amp;A3842</f>
        <v xml:space="preserve">    // Page Address Resister325</v>
      </c>
    </row>
    <row r="3843" spans="1:2" x14ac:dyDescent="0.3">
      <c r="A3843" t="str">
        <f>DEC2HEX(A3842)</f>
        <v>145</v>
      </c>
      <c r="B3843" t="s">
        <v>0</v>
      </c>
    </row>
    <row r="3844" spans="1:2" x14ac:dyDescent="0.3">
      <c r="B3844" t="s">
        <v>1</v>
      </c>
    </row>
    <row r="3845" spans="1:2" x14ac:dyDescent="0.3">
      <c r="B3845" t="str">
        <f>"            sr_paddr_dat["&amp;A3842&amp;"]   &lt;= 24'h0;"</f>
        <v xml:space="preserve">            sr_paddr_dat[325]   &lt;= 24'h0;</v>
      </c>
    </row>
    <row r="3846" spans="1:2" x14ac:dyDescent="0.3">
      <c r="B3846" t="s">
        <v>2</v>
      </c>
    </row>
    <row r="3847" spans="1:2" x14ac:dyDescent="0.3">
      <c r="B3847" t="str">
        <f>"           if (PADDR_CNT == 7'd"&amp;A3842&amp;")"</f>
        <v xml:space="preserve">           if (PADDR_CNT == 7'd325)</v>
      </c>
    </row>
    <row r="3848" spans="1:2" x14ac:dyDescent="0.3">
      <c r="B3848" t="str">
        <f>"               sr_paddr_dat["&amp;A3842&amp;"]  &lt;= sr_page_paddr_buf;"</f>
        <v xml:space="preserve">               sr_paddr_dat[325]  &lt;= sr_page_paddr_buf;</v>
      </c>
    </row>
    <row r="3849" spans="1:2" x14ac:dyDescent="0.3">
      <c r="B3849" t="s">
        <v>3</v>
      </c>
    </row>
    <row r="3850" spans="1:2" x14ac:dyDescent="0.3">
      <c r="B3850" t="str">
        <f>"               sr_paddr_dat["&amp;A3842&amp;"]  &lt;= sr_paddr_dat["&amp;A3842&amp;"];"</f>
        <v xml:space="preserve">               sr_paddr_dat[325]  &lt;= sr_paddr_dat[325];</v>
      </c>
    </row>
    <row r="3851" spans="1:2" x14ac:dyDescent="0.3">
      <c r="B3851" t="s">
        <v>4</v>
      </c>
    </row>
    <row r="3852" spans="1:2" x14ac:dyDescent="0.3">
      <c r="B3852" t="s">
        <v>5</v>
      </c>
    </row>
    <row r="3854" spans="1:2" x14ac:dyDescent="0.3">
      <c r="A3854">
        <f>A3842+1</f>
        <v>326</v>
      </c>
      <c r="B3854" t="str">
        <f>"    // Page Address Resister"&amp;A3854</f>
        <v xml:space="preserve">    // Page Address Resister326</v>
      </c>
    </row>
    <row r="3855" spans="1:2" x14ac:dyDescent="0.3">
      <c r="A3855" t="str">
        <f>DEC2HEX(A3854)</f>
        <v>146</v>
      </c>
      <c r="B3855" t="s">
        <v>0</v>
      </c>
    </row>
    <row r="3856" spans="1:2" x14ac:dyDescent="0.3">
      <c r="B3856" t="s">
        <v>1</v>
      </c>
    </row>
    <row r="3857" spans="1:2" x14ac:dyDescent="0.3">
      <c r="B3857" t="str">
        <f>"            sr_paddr_dat["&amp;A3854&amp;"]   &lt;= 24'h0;"</f>
        <v xml:space="preserve">            sr_paddr_dat[326]   &lt;= 24'h0;</v>
      </c>
    </row>
    <row r="3858" spans="1:2" x14ac:dyDescent="0.3">
      <c r="B3858" t="s">
        <v>2</v>
      </c>
    </row>
    <row r="3859" spans="1:2" x14ac:dyDescent="0.3">
      <c r="B3859" t="str">
        <f>"           if (PADDR_CNT == 7'd"&amp;A3854&amp;")"</f>
        <v xml:space="preserve">           if (PADDR_CNT == 7'd326)</v>
      </c>
    </row>
    <row r="3860" spans="1:2" x14ac:dyDescent="0.3">
      <c r="B3860" t="str">
        <f>"               sr_paddr_dat["&amp;A3854&amp;"]  &lt;= sr_page_paddr_buf;"</f>
        <v xml:space="preserve">               sr_paddr_dat[326]  &lt;= sr_page_paddr_buf;</v>
      </c>
    </row>
    <row r="3861" spans="1:2" x14ac:dyDescent="0.3">
      <c r="B3861" t="s">
        <v>3</v>
      </c>
    </row>
    <row r="3862" spans="1:2" x14ac:dyDescent="0.3">
      <c r="B3862" t="str">
        <f>"               sr_paddr_dat["&amp;A3854&amp;"]  &lt;= sr_paddr_dat["&amp;A3854&amp;"];"</f>
        <v xml:space="preserve">               sr_paddr_dat[326]  &lt;= sr_paddr_dat[326];</v>
      </c>
    </row>
    <row r="3863" spans="1:2" x14ac:dyDescent="0.3">
      <c r="B3863" t="s">
        <v>4</v>
      </c>
    </row>
    <row r="3864" spans="1:2" x14ac:dyDescent="0.3">
      <c r="B3864" t="s">
        <v>5</v>
      </c>
    </row>
    <row r="3866" spans="1:2" x14ac:dyDescent="0.3">
      <c r="A3866">
        <f>A3854+1</f>
        <v>327</v>
      </c>
      <c r="B3866" t="str">
        <f>"    // Page Address Resister"&amp;A3866</f>
        <v xml:space="preserve">    // Page Address Resister327</v>
      </c>
    </row>
    <row r="3867" spans="1:2" x14ac:dyDescent="0.3">
      <c r="A3867" t="str">
        <f>DEC2HEX(A3866)</f>
        <v>147</v>
      </c>
      <c r="B3867" t="s">
        <v>0</v>
      </c>
    </row>
    <row r="3868" spans="1:2" x14ac:dyDescent="0.3">
      <c r="B3868" t="s">
        <v>1</v>
      </c>
    </row>
    <row r="3869" spans="1:2" x14ac:dyDescent="0.3">
      <c r="B3869" t="str">
        <f>"            sr_paddr_dat["&amp;A3866&amp;"]   &lt;= 24'h0;"</f>
        <v xml:space="preserve">            sr_paddr_dat[327]   &lt;= 24'h0;</v>
      </c>
    </row>
    <row r="3870" spans="1:2" x14ac:dyDescent="0.3">
      <c r="B3870" t="s">
        <v>2</v>
      </c>
    </row>
    <row r="3871" spans="1:2" x14ac:dyDescent="0.3">
      <c r="B3871" t="str">
        <f>"           if (PADDR_CNT == 7'd"&amp;A3866&amp;")"</f>
        <v xml:space="preserve">           if (PADDR_CNT == 7'd327)</v>
      </c>
    </row>
    <row r="3872" spans="1:2" x14ac:dyDescent="0.3">
      <c r="B3872" t="str">
        <f>"               sr_paddr_dat["&amp;A3866&amp;"]  &lt;= sr_page_paddr_buf;"</f>
        <v xml:space="preserve">               sr_paddr_dat[327]  &lt;= sr_page_paddr_buf;</v>
      </c>
    </row>
    <row r="3873" spans="1:2" x14ac:dyDescent="0.3">
      <c r="B3873" t="s">
        <v>3</v>
      </c>
    </row>
    <row r="3874" spans="1:2" x14ac:dyDescent="0.3">
      <c r="B3874" t="str">
        <f>"               sr_paddr_dat["&amp;A3866&amp;"]  &lt;= sr_paddr_dat["&amp;A3866&amp;"];"</f>
        <v xml:space="preserve">               sr_paddr_dat[327]  &lt;= sr_paddr_dat[327];</v>
      </c>
    </row>
    <row r="3875" spans="1:2" x14ac:dyDescent="0.3">
      <c r="B3875" t="s">
        <v>4</v>
      </c>
    </row>
    <row r="3876" spans="1:2" x14ac:dyDescent="0.3">
      <c r="B3876" t="s">
        <v>5</v>
      </c>
    </row>
    <row r="3878" spans="1:2" x14ac:dyDescent="0.3">
      <c r="A3878">
        <f>A3866+1</f>
        <v>328</v>
      </c>
      <c r="B3878" t="str">
        <f>"    // Page Address Resister"&amp;A3878</f>
        <v xml:space="preserve">    // Page Address Resister328</v>
      </c>
    </row>
    <row r="3879" spans="1:2" x14ac:dyDescent="0.3">
      <c r="A3879" t="str">
        <f>DEC2HEX(A3878)</f>
        <v>148</v>
      </c>
      <c r="B3879" t="s">
        <v>0</v>
      </c>
    </row>
    <row r="3880" spans="1:2" x14ac:dyDescent="0.3">
      <c r="B3880" t="s">
        <v>1</v>
      </c>
    </row>
    <row r="3881" spans="1:2" x14ac:dyDescent="0.3">
      <c r="B3881" t="str">
        <f>"            sr_paddr_dat["&amp;A3878&amp;"]   &lt;= 24'h0;"</f>
        <v xml:space="preserve">            sr_paddr_dat[328]   &lt;= 24'h0;</v>
      </c>
    </row>
    <row r="3882" spans="1:2" x14ac:dyDescent="0.3">
      <c r="B3882" t="s">
        <v>2</v>
      </c>
    </row>
    <row r="3883" spans="1:2" x14ac:dyDescent="0.3">
      <c r="B3883" t="str">
        <f>"           if (PADDR_CNT == 7'd"&amp;A3878&amp;")"</f>
        <v xml:space="preserve">           if (PADDR_CNT == 7'd328)</v>
      </c>
    </row>
    <row r="3884" spans="1:2" x14ac:dyDescent="0.3">
      <c r="B3884" t="str">
        <f>"               sr_paddr_dat["&amp;A3878&amp;"]  &lt;= sr_page_paddr_buf;"</f>
        <v xml:space="preserve">               sr_paddr_dat[328]  &lt;= sr_page_paddr_buf;</v>
      </c>
    </row>
    <row r="3885" spans="1:2" x14ac:dyDescent="0.3">
      <c r="B3885" t="s">
        <v>3</v>
      </c>
    </row>
    <row r="3886" spans="1:2" x14ac:dyDescent="0.3">
      <c r="B3886" t="str">
        <f>"               sr_paddr_dat["&amp;A3878&amp;"]  &lt;= sr_paddr_dat["&amp;A3878&amp;"];"</f>
        <v xml:space="preserve">               sr_paddr_dat[328]  &lt;= sr_paddr_dat[328];</v>
      </c>
    </row>
    <row r="3887" spans="1:2" x14ac:dyDescent="0.3">
      <c r="B3887" t="s">
        <v>4</v>
      </c>
    </row>
    <row r="3888" spans="1:2" x14ac:dyDescent="0.3">
      <c r="B3888" t="s">
        <v>5</v>
      </c>
    </row>
    <row r="3890" spans="1:2" x14ac:dyDescent="0.3">
      <c r="A3890">
        <f>A3878+1</f>
        <v>329</v>
      </c>
      <c r="B3890" t="str">
        <f>"    // Page Address Resister"&amp;A3890</f>
        <v xml:space="preserve">    // Page Address Resister329</v>
      </c>
    </row>
    <row r="3891" spans="1:2" x14ac:dyDescent="0.3">
      <c r="A3891" t="str">
        <f>DEC2HEX(A3890)</f>
        <v>149</v>
      </c>
      <c r="B3891" t="s">
        <v>0</v>
      </c>
    </row>
    <row r="3892" spans="1:2" x14ac:dyDescent="0.3">
      <c r="B3892" t="s">
        <v>1</v>
      </c>
    </row>
    <row r="3893" spans="1:2" x14ac:dyDescent="0.3">
      <c r="B3893" t="str">
        <f>"            sr_paddr_dat["&amp;A3890&amp;"]   &lt;= 24'h0;"</f>
        <v xml:space="preserve">            sr_paddr_dat[329]   &lt;= 24'h0;</v>
      </c>
    </row>
    <row r="3894" spans="1:2" x14ac:dyDescent="0.3">
      <c r="B3894" t="s">
        <v>2</v>
      </c>
    </row>
    <row r="3895" spans="1:2" x14ac:dyDescent="0.3">
      <c r="B3895" t="str">
        <f>"           if (PADDR_CNT == 7'd"&amp;A3890&amp;")"</f>
        <v xml:space="preserve">           if (PADDR_CNT == 7'd329)</v>
      </c>
    </row>
    <row r="3896" spans="1:2" x14ac:dyDescent="0.3">
      <c r="B3896" t="str">
        <f>"               sr_paddr_dat["&amp;A3890&amp;"]  &lt;= sr_page_paddr_buf;"</f>
        <v xml:space="preserve">               sr_paddr_dat[329]  &lt;= sr_page_paddr_buf;</v>
      </c>
    </row>
    <row r="3897" spans="1:2" x14ac:dyDescent="0.3">
      <c r="B3897" t="s">
        <v>3</v>
      </c>
    </row>
    <row r="3898" spans="1:2" x14ac:dyDescent="0.3">
      <c r="B3898" t="str">
        <f>"               sr_paddr_dat["&amp;A3890&amp;"]  &lt;= sr_paddr_dat["&amp;A3890&amp;"];"</f>
        <v xml:space="preserve">               sr_paddr_dat[329]  &lt;= sr_paddr_dat[329];</v>
      </c>
    </row>
    <row r="3899" spans="1:2" x14ac:dyDescent="0.3">
      <c r="B3899" t="s">
        <v>4</v>
      </c>
    </row>
    <row r="3900" spans="1:2" x14ac:dyDescent="0.3">
      <c r="B3900" t="s">
        <v>5</v>
      </c>
    </row>
    <row r="3902" spans="1:2" x14ac:dyDescent="0.3">
      <c r="A3902">
        <f>A3890+1</f>
        <v>330</v>
      </c>
      <c r="B3902" t="str">
        <f>"    // Page Address Resister"&amp;A3902</f>
        <v xml:space="preserve">    // Page Address Resister330</v>
      </c>
    </row>
    <row r="3903" spans="1:2" x14ac:dyDescent="0.3">
      <c r="A3903" t="str">
        <f>DEC2HEX(A3902)</f>
        <v>14A</v>
      </c>
      <c r="B3903" t="s">
        <v>0</v>
      </c>
    </row>
    <row r="3904" spans="1:2" x14ac:dyDescent="0.3">
      <c r="B3904" t="s">
        <v>1</v>
      </c>
    </row>
    <row r="3905" spans="1:2" x14ac:dyDescent="0.3">
      <c r="B3905" t="str">
        <f>"            sr_paddr_dat["&amp;A3902&amp;"]   &lt;= 24'h0;"</f>
        <v xml:space="preserve">            sr_paddr_dat[330]   &lt;= 24'h0;</v>
      </c>
    </row>
    <row r="3906" spans="1:2" x14ac:dyDescent="0.3">
      <c r="B3906" t="s">
        <v>2</v>
      </c>
    </row>
    <row r="3907" spans="1:2" x14ac:dyDescent="0.3">
      <c r="B3907" t="str">
        <f>"           if (PADDR_CNT == 7'd"&amp;A3902&amp;")"</f>
        <v xml:space="preserve">           if (PADDR_CNT == 7'd330)</v>
      </c>
    </row>
    <row r="3908" spans="1:2" x14ac:dyDescent="0.3">
      <c r="B3908" t="str">
        <f>"               sr_paddr_dat["&amp;A3902&amp;"]  &lt;= sr_page_paddr_buf;"</f>
        <v xml:space="preserve">               sr_paddr_dat[330]  &lt;= sr_page_paddr_buf;</v>
      </c>
    </row>
    <row r="3909" spans="1:2" x14ac:dyDescent="0.3">
      <c r="B3909" t="s">
        <v>3</v>
      </c>
    </row>
    <row r="3910" spans="1:2" x14ac:dyDescent="0.3">
      <c r="B3910" t="str">
        <f>"               sr_paddr_dat["&amp;A3902&amp;"]  &lt;= sr_paddr_dat["&amp;A3902&amp;"];"</f>
        <v xml:space="preserve">               sr_paddr_dat[330]  &lt;= sr_paddr_dat[330];</v>
      </c>
    </row>
    <row r="3911" spans="1:2" x14ac:dyDescent="0.3">
      <c r="B3911" t="s">
        <v>4</v>
      </c>
    </row>
    <row r="3912" spans="1:2" x14ac:dyDescent="0.3">
      <c r="B3912" t="s">
        <v>5</v>
      </c>
    </row>
    <row r="3914" spans="1:2" x14ac:dyDescent="0.3">
      <c r="A3914">
        <f>A3902+1</f>
        <v>331</v>
      </c>
      <c r="B3914" t="str">
        <f>"    // Page Address Resister"&amp;A3914</f>
        <v xml:space="preserve">    // Page Address Resister331</v>
      </c>
    </row>
    <row r="3915" spans="1:2" x14ac:dyDescent="0.3">
      <c r="A3915" t="str">
        <f>DEC2HEX(A3914)</f>
        <v>14B</v>
      </c>
      <c r="B3915" t="s">
        <v>0</v>
      </c>
    </row>
    <row r="3916" spans="1:2" x14ac:dyDescent="0.3">
      <c r="B3916" t="s">
        <v>1</v>
      </c>
    </row>
    <row r="3917" spans="1:2" x14ac:dyDescent="0.3">
      <c r="B3917" t="str">
        <f>"            sr_paddr_dat["&amp;A3914&amp;"]   &lt;= 24'h0;"</f>
        <v xml:space="preserve">            sr_paddr_dat[331]   &lt;= 24'h0;</v>
      </c>
    </row>
    <row r="3918" spans="1:2" x14ac:dyDescent="0.3">
      <c r="B3918" t="s">
        <v>2</v>
      </c>
    </row>
    <row r="3919" spans="1:2" x14ac:dyDescent="0.3">
      <c r="B3919" t="str">
        <f>"           if (PADDR_CNT == 7'd"&amp;A3914&amp;")"</f>
        <v xml:space="preserve">           if (PADDR_CNT == 7'd331)</v>
      </c>
    </row>
    <row r="3920" spans="1:2" x14ac:dyDescent="0.3">
      <c r="B3920" t="str">
        <f>"               sr_paddr_dat["&amp;A3914&amp;"]  &lt;= sr_page_paddr_buf;"</f>
        <v xml:space="preserve">               sr_paddr_dat[331]  &lt;= sr_page_paddr_buf;</v>
      </c>
    </row>
    <row r="3921" spans="1:2" x14ac:dyDescent="0.3">
      <c r="B3921" t="s">
        <v>3</v>
      </c>
    </row>
    <row r="3922" spans="1:2" x14ac:dyDescent="0.3">
      <c r="B3922" t="str">
        <f>"               sr_paddr_dat["&amp;A3914&amp;"]  &lt;= sr_paddr_dat["&amp;A3914&amp;"];"</f>
        <v xml:space="preserve">               sr_paddr_dat[331]  &lt;= sr_paddr_dat[331];</v>
      </c>
    </row>
    <row r="3923" spans="1:2" x14ac:dyDescent="0.3">
      <c r="B3923" t="s">
        <v>4</v>
      </c>
    </row>
    <row r="3924" spans="1:2" x14ac:dyDescent="0.3">
      <c r="B3924" t="s">
        <v>5</v>
      </c>
    </row>
    <row r="3926" spans="1:2" x14ac:dyDescent="0.3">
      <c r="A3926">
        <f>A3914+1</f>
        <v>332</v>
      </c>
      <c r="B3926" t="str">
        <f>"    // Page Address Resister"&amp;A3926</f>
        <v xml:space="preserve">    // Page Address Resister332</v>
      </c>
    </row>
    <row r="3927" spans="1:2" x14ac:dyDescent="0.3">
      <c r="A3927" t="str">
        <f>DEC2HEX(A3926)</f>
        <v>14C</v>
      </c>
      <c r="B3927" t="s">
        <v>0</v>
      </c>
    </row>
    <row r="3928" spans="1:2" x14ac:dyDescent="0.3">
      <c r="B3928" t="s">
        <v>1</v>
      </c>
    </row>
    <row r="3929" spans="1:2" x14ac:dyDescent="0.3">
      <c r="B3929" t="str">
        <f>"            sr_paddr_dat["&amp;A3926&amp;"]   &lt;= 24'h0;"</f>
        <v xml:space="preserve">            sr_paddr_dat[332]   &lt;= 24'h0;</v>
      </c>
    </row>
    <row r="3930" spans="1:2" x14ac:dyDescent="0.3">
      <c r="B3930" t="s">
        <v>2</v>
      </c>
    </row>
    <row r="3931" spans="1:2" x14ac:dyDescent="0.3">
      <c r="B3931" t="str">
        <f>"           if (PADDR_CNT == 7'd"&amp;A3926&amp;")"</f>
        <v xml:space="preserve">           if (PADDR_CNT == 7'd332)</v>
      </c>
    </row>
    <row r="3932" spans="1:2" x14ac:dyDescent="0.3">
      <c r="B3932" t="str">
        <f>"               sr_paddr_dat["&amp;A3926&amp;"]  &lt;= sr_page_paddr_buf;"</f>
        <v xml:space="preserve">               sr_paddr_dat[332]  &lt;= sr_page_paddr_buf;</v>
      </c>
    </row>
    <row r="3933" spans="1:2" x14ac:dyDescent="0.3">
      <c r="B3933" t="s">
        <v>3</v>
      </c>
    </row>
    <row r="3934" spans="1:2" x14ac:dyDescent="0.3">
      <c r="B3934" t="str">
        <f>"               sr_paddr_dat["&amp;A3926&amp;"]  &lt;= sr_paddr_dat["&amp;A3926&amp;"];"</f>
        <v xml:space="preserve">               sr_paddr_dat[332]  &lt;= sr_paddr_dat[332];</v>
      </c>
    </row>
    <row r="3935" spans="1:2" x14ac:dyDescent="0.3">
      <c r="B3935" t="s">
        <v>4</v>
      </c>
    </row>
    <row r="3936" spans="1:2" x14ac:dyDescent="0.3">
      <c r="B3936" t="s">
        <v>5</v>
      </c>
    </row>
    <row r="3938" spans="1:2" x14ac:dyDescent="0.3">
      <c r="A3938">
        <f>A3926+1</f>
        <v>333</v>
      </c>
      <c r="B3938" t="str">
        <f>"    // Page Address Resister"&amp;A3938</f>
        <v xml:space="preserve">    // Page Address Resister333</v>
      </c>
    </row>
    <row r="3939" spans="1:2" x14ac:dyDescent="0.3">
      <c r="A3939" t="str">
        <f>DEC2HEX(A3938)</f>
        <v>14D</v>
      </c>
      <c r="B3939" t="s">
        <v>0</v>
      </c>
    </row>
    <row r="3940" spans="1:2" x14ac:dyDescent="0.3">
      <c r="B3940" t="s">
        <v>1</v>
      </c>
    </row>
    <row r="3941" spans="1:2" x14ac:dyDescent="0.3">
      <c r="B3941" t="str">
        <f>"            sr_paddr_dat["&amp;A3938&amp;"]   &lt;= 24'h0;"</f>
        <v xml:space="preserve">            sr_paddr_dat[333]   &lt;= 24'h0;</v>
      </c>
    </row>
    <row r="3942" spans="1:2" x14ac:dyDescent="0.3">
      <c r="B3942" t="s">
        <v>2</v>
      </c>
    </row>
    <row r="3943" spans="1:2" x14ac:dyDescent="0.3">
      <c r="B3943" t="str">
        <f>"           if (PADDR_CNT == 7'd"&amp;A3938&amp;")"</f>
        <v xml:space="preserve">           if (PADDR_CNT == 7'd333)</v>
      </c>
    </row>
    <row r="3944" spans="1:2" x14ac:dyDescent="0.3">
      <c r="B3944" t="str">
        <f>"               sr_paddr_dat["&amp;A3938&amp;"]  &lt;= sr_page_paddr_buf;"</f>
        <v xml:space="preserve">               sr_paddr_dat[333]  &lt;= sr_page_paddr_buf;</v>
      </c>
    </row>
    <row r="3945" spans="1:2" x14ac:dyDescent="0.3">
      <c r="B3945" t="s">
        <v>3</v>
      </c>
    </row>
    <row r="3946" spans="1:2" x14ac:dyDescent="0.3">
      <c r="B3946" t="str">
        <f>"               sr_paddr_dat["&amp;A3938&amp;"]  &lt;= sr_paddr_dat["&amp;A3938&amp;"];"</f>
        <v xml:space="preserve">               sr_paddr_dat[333]  &lt;= sr_paddr_dat[333];</v>
      </c>
    </row>
    <row r="3947" spans="1:2" x14ac:dyDescent="0.3">
      <c r="B3947" t="s">
        <v>4</v>
      </c>
    </row>
    <row r="3948" spans="1:2" x14ac:dyDescent="0.3">
      <c r="B3948" t="s">
        <v>5</v>
      </c>
    </row>
    <row r="3950" spans="1:2" x14ac:dyDescent="0.3">
      <c r="A3950">
        <f>A3938+1</f>
        <v>334</v>
      </c>
      <c r="B3950" t="str">
        <f>"    // Page Address Resister"&amp;A3950</f>
        <v xml:space="preserve">    // Page Address Resister334</v>
      </c>
    </row>
    <row r="3951" spans="1:2" x14ac:dyDescent="0.3">
      <c r="A3951" t="str">
        <f>DEC2HEX(A3950)</f>
        <v>14E</v>
      </c>
      <c r="B3951" t="s">
        <v>0</v>
      </c>
    </row>
    <row r="3952" spans="1:2" x14ac:dyDescent="0.3">
      <c r="B3952" t="s">
        <v>1</v>
      </c>
    </row>
    <row r="3953" spans="1:2" x14ac:dyDescent="0.3">
      <c r="B3953" t="str">
        <f>"            sr_paddr_dat["&amp;A3950&amp;"]   &lt;= 24'h0;"</f>
        <v xml:space="preserve">            sr_paddr_dat[334]   &lt;= 24'h0;</v>
      </c>
    </row>
    <row r="3954" spans="1:2" x14ac:dyDescent="0.3">
      <c r="B3954" t="s">
        <v>2</v>
      </c>
    </row>
    <row r="3955" spans="1:2" x14ac:dyDescent="0.3">
      <c r="B3955" t="str">
        <f>"           if (PADDR_CNT == 7'd"&amp;A3950&amp;")"</f>
        <v xml:space="preserve">           if (PADDR_CNT == 7'd334)</v>
      </c>
    </row>
    <row r="3956" spans="1:2" x14ac:dyDescent="0.3">
      <c r="B3956" t="str">
        <f>"               sr_paddr_dat["&amp;A3950&amp;"]  &lt;= sr_page_paddr_buf;"</f>
        <v xml:space="preserve">               sr_paddr_dat[334]  &lt;= sr_page_paddr_buf;</v>
      </c>
    </row>
    <row r="3957" spans="1:2" x14ac:dyDescent="0.3">
      <c r="B3957" t="s">
        <v>3</v>
      </c>
    </row>
    <row r="3958" spans="1:2" x14ac:dyDescent="0.3">
      <c r="B3958" t="str">
        <f>"               sr_paddr_dat["&amp;A3950&amp;"]  &lt;= sr_paddr_dat["&amp;A3950&amp;"];"</f>
        <v xml:space="preserve">               sr_paddr_dat[334]  &lt;= sr_paddr_dat[334];</v>
      </c>
    </row>
    <row r="3959" spans="1:2" x14ac:dyDescent="0.3">
      <c r="B3959" t="s">
        <v>4</v>
      </c>
    </row>
    <row r="3960" spans="1:2" x14ac:dyDescent="0.3">
      <c r="B3960" t="s">
        <v>5</v>
      </c>
    </row>
    <row r="3962" spans="1:2" x14ac:dyDescent="0.3">
      <c r="A3962">
        <f>A3950+1</f>
        <v>335</v>
      </c>
      <c r="B3962" t="str">
        <f>"    // Page Address Resister"&amp;A3962</f>
        <v xml:space="preserve">    // Page Address Resister335</v>
      </c>
    </row>
    <row r="3963" spans="1:2" x14ac:dyDescent="0.3">
      <c r="A3963" t="str">
        <f>DEC2HEX(A3962)</f>
        <v>14F</v>
      </c>
      <c r="B3963" t="s">
        <v>0</v>
      </c>
    </row>
    <row r="3964" spans="1:2" x14ac:dyDescent="0.3">
      <c r="B3964" t="s">
        <v>1</v>
      </c>
    </row>
    <row r="3965" spans="1:2" x14ac:dyDescent="0.3">
      <c r="B3965" t="str">
        <f>"            sr_paddr_dat["&amp;A3962&amp;"]   &lt;= 24'h0;"</f>
        <v xml:space="preserve">            sr_paddr_dat[335]   &lt;= 24'h0;</v>
      </c>
    </row>
    <row r="3966" spans="1:2" x14ac:dyDescent="0.3">
      <c r="B3966" t="s">
        <v>2</v>
      </c>
    </row>
    <row r="3967" spans="1:2" x14ac:dyDescent="0.3">
      <c r="B3967" t="str">
        <f>"           if (PADDR_CNT == 7'd"&amp;A3962&amp;")"</f>
        <v xml:space="preserve">           if (PADDR_CNT == 7'd335)</v>
      </c>
    </row>
    <row r="3968" spans="1:2" x14ac:dyDescent="0.3">
      <c r="B3968" t="str">
        <f>"               sr_paddr_dat["&amp;A3962&amp;"]  &lt;= sr_page_paddr_buf;"</f>
        <v xml:space="preserve">               sr_paddr_dat[335]  &lt;= sr_page_paddr_buf;</v>
      </c>
    </row>
    <row r="3969" spans="1:2" x14ac:dyDescent="0.3">
      <c r="B3969" t="s">
        <v>3</v>
      </c>
    </row>
    <row r="3970" spans="1:2" x14ac:dyDescent="0.3">
      <c r="B3970" t="str">
        <f>"               sr_paddr_dat["&amp;A3962&amp;"]  &lt;= sr_paddr_dat["&amp;A3962&amp;"];"</f>
        <v xml:space="preserve">               sr_paddr_dat[335]  &lt;= sr_paddr_dat[335];</v>
      </c>
    </row>
    <row r="3971" spans="1:2" x14ac:dyDescent="0.3">
      <c r="B3971" t="s">
        <v>4</v>
      </c>
    </row>
    <row r="3972" spans="1:2" x14ac:dyDescent="0.3">
      <c r="B3972" t="s">
        <v>5</v>
      </c>
    </row>
    <row r="3974" spans="1:2" x14ac:dyDescent="0.3">
      <c r="A3974">
        <f>A3962+1</f>
        <v>336</v>
      </c>
      <c r="B3974" t="str">
        <f>"    // Page Address Resister"&amp;A3974</f>
        <v xml:space="preserve">    // Page Address Resister336</v>
      </c>
    </row>
    <row r="3975" spans="1:2" x14ac:dyDescent="0.3">
      <c r="A3975" t="str">
        <f>DEC2HEX(A3974)</f>
        <v>150</v>
      </c>
      <c r="B3975" t="s">
        <v>0</v>
      </c>
    </row>
    <row r="3976" spans="1:2" x14ac:dyDescent="0.3">
      <c r="B3976" t="s">
        <v>1</v>
      </c>
    </row>
    <row r="3977" spans="1:2" x14ac:dyDescent="0.3">
      <c r="B3977" t="str">
        <f>"            sr_paddr_dat["&amp;A3974&amp;"]   &lt;= 24'h0;"</f>
        <v xml:space="preserve">            sr_paddr_dat[336]   &lt;= 24'h0;</v>
      </c>
    </row>
    <row r="3978" spans="1:2" x14ac:dyDescent="0.3">
      <c r="B3978" t="s">
        <v>2</v>
      </c>
    </row>
    <row r="3979" spans="1:2" x14ac:dyDescent="0.3">
      <c r="B3979" t="str">
        <f>"           if (PADDR_CNT == 7'd"&amp;A3974&amp;")"</f>
        <v xml:space="preserve">           if (PADDR_CNT == 7'd336)</v>
      </c>
    </row>
    <row r="3980" spans="1:2" x14ac:dyDescent="0.3">
      <c r="B3980" t="str">
        <f>"               sr_paddr_dat["&amp;A3974&amp;"]  &lt;= sr_page_paddr_buf;"</f>
        <v xml:space="preserve">               sr_paddr_dat[336]  &lt;= sr_page_paddr_buf;</v>
      </c>
    </row>
    <row r="3981" spans="1:2" x14ac:dyDescent="0.3">
      <c r="B3981" t="s">
        <v>3</v>
      </c>
    </row>
    <row r="3982" spans="1:2" x14ac:dyDescent="0.3">
      <c r="B3982" t="str">
        <f>"               sr_paddr_dat["&amp;A3974&amp;"]  &lt;= sr_paddr_dat["&amp;A3974&amp;"];"</f>
        <v xml:space="preserve">               sr_paddr_dat[336]  &lt;= sr_paddr_dat[336];</v>
      </c>
    </row>
    <row r="3983" spans="1:2" x14ac:dyDescent="0.3">
      <c r="B3983" t="s">
        <v>4</v>
      </c>
    </row>
    <row r="3984" spans="1:2" x14ac:dyDescent="0.3">
      <c r="B3984" t="s">
        <v>5</v>
      </c>
    </row>
    <row r="3986" spans="1:2" x14ac:dyDescent="0.3">
      <c r="A3986">
        <f>A3974+1</f>
        <v>337</v>
      </c>
      <c r="B3986" t="str">
        <f>"    // Page Address Resister"&amp;A3986</f>
        <v xml:space="preserve">    // Page Address Resister337</v>
      </c>
    </row>
    <row r="3987" spans="1:2" x14ac:dyDescent="0.3">
      <c r="A3987" t="str">
        <f>DEC2HEX(A3986)</f>
        <v>151</v>
      </c>
      <c r="B3987" t="s">
        <v>0</v>
      </c>
    </row>
    <row r="3988" spans="1:2" x14ac:dyDescent="0.3">
      <c r="B3988" t="s">
        <v>1</v>
      </c>
    </row>
    <row r="3989" spans="1:2" x14ac:dyDescent="0.3">
      <c r="B3989" t="str">
        <f>"            sr_paddr_dat["&amp;A3986&amp;"]   &lt;= 24'h0;"</f>
        <v xml:space="preserve">            sr_paddr_dat[337]   &lt;= 24'h0;</v>
      </c>
    </row>
    <row r="3990" spans="1:2" x14ac:dyDescent="0.3">
      <c r="B3990" t="s">
        <v>2</v>
      </c>
    </row>
    <row r="3991" spans="1:2" x14ac:dyDescent="0.3">
      <c r="B3991" t="str">
        <f>"           if (PADDR_CNT == 7'd"&amp;A3986&amp;")"</f>
        <v xml:space="preserve">           if (PADDR_CNT == 7'd337)</v>
      </c>
    </row>
    <row r="3992" spans="1:2" x14ac:dyDescent="0.3">
      <c r="B3992" t="str">
        <f>"               sr_paddr_dat["&amp;A3986&amp;"]  &lt;= sr_page_paddr_buf;"</f>
        <v xml:space="preserve">               sr_paddr_dat[337]  &lt;= sr_page_paddr_buf;</v>
      </c>
    </row>
    <row r="3993" spans="1:2" x14ac:dyDescent="0.3">
      <c r="B3993" t="s">
        <v>3</v>
      </c>
    </row>
    <row r="3994" spans="1:2" x14ac:dyDescent="0.3">
      <c r="B3994" t="str">
        <f>"               sr_paddr_dat["&amp;A3986&amp;"]  &lt;= sr_paddr_dat["&amp;A3986&amp;"];"</f>
        <v xml:space="preserve">               sr_paddr_dat[337]  &lt;= sr_paddr_dat[337];</v>
      </c>
    </row>
    <row r="3995" spans="1:2" x14ac:dyDescent="0.3">
      <c r="B3995" t="s">
        <v>4</v>
      </c>
    </row>
    <row r="3996" spans="1:2" x14ac:dyDescent="0.3">
      <c r="B3996" t="s">
        <v>5</v>
      </c>
    </row>
    <row r="3998" spans="1:2" x14ac:dyDescent="0.3">
      <c r="A3998">
        <f>A3986+1</f>
        <v>338</v>
      </c>
      <c r="B3998" t="str">
        <f>"    // Page Address Resister"&amp;A3998</f>
        <v xml:space="preserve">    // Page Address Resister338</v>
      </c>
    </row>
    <row r="3999" spans="1:2" x14ac:dyDescent="0.3">
      <c r="A3999" t="str">
        <f>DEC2HEX(A3998)</f>
        <v>152</v>
      </c>
      <c r="B3999" t="s">
        <v>0</v>
      </c>
    </row>
    <row r="4000" spans="1:2" x14ac:dyDescent="0.3">
      <c r="B4000" t="s">
        <v>1</v>
      </c>
    </row>
    <row r="4001" spans="1:2" x14ac:dyDescent="0.3">
      <c r="B4001" t="str">
        <f>"            sr_paddr_dat["&amp;A3998&amp;"]   &lt;= 24'h0;"</f>
        <v xml:space="preserve">            sr_paddr_dat[338]   &lt;= 24'h0;</v>
      </c>
    </row>
    <row r="4002" spans="1:2" x14ac:dyDescent="0.3">
      <c r="B4002" t="s">
        <v>2</v>
      </c>
    </row>
    <row r="4003" spans="1:2" x14ac:dyDescent="0.3">
      <c r="B4003" t="str">
        <f>"           if (PADDR_CNT == 7'd"&amp;A3998&amp;")"</f>
        <v xml:space="preserve">           if (PADDR_CNT == 7'd338)</v>
      </c>
    </row>
    <row r="4004" spans="1:2" x14ac:dyDescent="0.3">
      <c r="B4004" t="str">
        <f>"               sr_paddr_dat["&amp;A3998&amp;"]  &lt;= sr_page_paddr_buf;"</f>
        <v xml:space="preserve">               sr_paddr_dat[338]  &lt;= sr_page_paddr_buf;</v>
      </c>
    </row>
    <row r="4005" spans="1:2" x14ac:dyDescent="0.3">
      <c r="B4005" t="s">
        <v>3</v>
      </c>
    </row>
    <row r="4006" spans="1:2" x14ac:dyDescent="0.3">
      <c r="B4006" t="str">
        <f>"               sr_paddr_dat["&amp;A3998&amp;"]  &lt;= sr_paddr_dat["&amp;A3998&amp;"];"</f>
        <v xml:space="preserve">               sr_paddr_dat[338]  &lt;= sr_paddr_dat[338];</v>
      </c>
    </row>
    <row r="4007" spans="1:2" x14ac:dyDescent="0.3">
      <c r="B4007" t="s">
        <v>4</v>
      </c>
    </row>
    <row r="4008" spans="1:2" x14ac:dyDescent="0.3">
      <c r="B4008" t="s">
        <v>5</v>
      </c>
    </row>
    <row r="4010" spans="1:2" x14ac:dyDescent="0.3">
      <c r="A4010">
        <f>A3998+1</f>
        <v>339</v>
      </c>
      <c r="B4010" t="str">
        <f>"    // Page Address Resister"&amp;A4010</f>
        <v xml:space="preserve">    // Page Address Resister339</v>
      </c>
    </row>
    <row r="4011" spans="1:2" x14ac:dyDescent="0.3">
      <c r="A4011" t="str">
        <f>DEC2HEX(A4010)</f>
        <v>153</v>
      </c>
      <c r="B4011" t="s">
        <v>0</v>
      </c>
    </row>
    <row r="4012" spans="1:2" x14ac:dyDescent="0.3">
      <c r="B4012" t="s">
        <v>1</v>
      </c>
    </row>
    <row r="4013" spans="1:2" x14ac:dyDescent="0.3">
      <c r="B4013" t="str">
        <f>"            sr_paddr_dat["&amp;A4010&amp;"]   &lt;= 24'h0;"</f>
        <v xml:space="preserve">            sr_paddr_dat[339]   &lt;= 24'h0;</v>
      </c>
    </row>
    <row r="4014" spans="1:2" x14ac:dyDescent="0.3">
      <c r="B4014" t="s">
        <v>2</v>
      </c>
    </row>
    <row r="4015" spans="1:2" x14ac:dyDescent="0.3">
      <c r="B4015" t="str">
        <f>"           if (PADDR_CNT == 7'd"&amp;A4010&amp;")"</f>
        <v xml:space="preserve">           if (PADDR_CNT == 7'd339)</v>
      </c>
    </row>
    <row r="4016" spans="1:2" x14ac:dyDescent="0.3">
      <c r="B4016" t="str">
        <f>"               sr_paddr_dat["&amp;A4010&amp;"]  &lt;= sr_page_paddr_buf;"</f>
        <v xml:space="preserve">               sr_paddr_dat[339]  &lt;= sr_page_paddr_buf;</v>
      </c>
    </row>
    <row r="4017" spans="1:2" x14ac:dyDescent="0.3">
      <c r="B4017" t="s">
        <v>3</v>
      </c>
    </row>
    <row r="4018" spans="1:2" x14ac:dyDescent="0.3">
      <c r="B4018" t="str">
        <f>"               sr_paddr_dat["&amp;A4010&amp;"]  &lt;= sr_paddr_dat["&amp;A4010&amp;"];"</f>
        <v xml:space="preserve">               sr_paddr_dat[339]  &lt;= sr_paddr_dat[339];</v>
      </c>
    </row>
    <row r="4019" spans="1:2" x14ac:dyDescent="0.3">
      <c r="B4019" t="s">
        <v>4</v>
      </c>
    </row>
    <row r="4020" spans="1:2" x14ac:dyDescent="0.3">
      <c r="B4020" t="s">
        <v>5</v>
      </c>
    </row>
    <row r="4022" spans="1:2" x14ac:dyDescent="0.3">
      <c r="A4022">
        <f>A4010+1</f>
        <v>340</v>
      </c>
      <c r="B4022" t="str">
        <f>"    // Page Address Resister"&amp;A4022</f>
        <v xml:space="preserve">    // Page Address Resister340</v>
      </c>
    </row>
    <row r="4023" spans="1:2" x14ac:dyDescent="0.3">
      <c r="A4023" t="str">
        <f>DEC2HEX(A4022)</f>
        <v>154</v>
      </c>
      <c r="B4023" t="s">
        <v>0</v>
      </c>
    </row>
    <row r="4024" spans="1:2" x14ac:dyDescent="0.3">
      <c r="B4024" t="s">
        <v>1</v>
      </c>
    </row>
    <row r="4025" spans="1:2" x14ac:dyDescent="0.3">
      <c r="B4025" t="str">
        <f>"            sr_paddr_dat["&amp;A4022&amp;"]   &lt;= 24'h0;"</f>
        <v xml:space="preserve">            sr_paddr_dat[340]   &lt;= 24'h0;</v>
      </c>
    </row>
    <row r="4026" spans="1:2" x14ac:dyDescent="0.3">
      <c r="B4026" t="s">
        <v>2</v>
      </c>
    </row>
    <row r="4027" spans="1:2" x14ac:dyDescent="0.3">
      <c r="B4027" t="str">
        <f>"           if (PADDR_CNT == 7'd"&amp;A4022&amp;")"</f>
        <v xml:space="preserve">           if (PADDR_CNT == 7'd340)</v>
      </c>
    </row>
    <row r="4028" spans="1:2" x14ac:dyDescent="0.3">
      <c r="B4028" t="str">
        <f>"               sr_paddr_dat["&amp;A4022&amp;"]  &lt;= sr_page_paddr_buf;"</f>
        <v xml:space="preserve">               sr_paddr_dat[340]  &lt;= sr_page_paddr_buf;</v>
      </c>
    </row>
    <row r="4029" spans="1:2" x14ac:dyDescent="0.3">
      <c r="B4029" t="s">
        <v>3</v>
      </c>
    </row>
    <row r="4030" spans="1:2" x14ac:dyDescent="0.3">
      <c r="B4030" t="str">
        <f>"               sr_paddr_dat["&amp;A4022&amp;"]  &lt;= sr_paddr_dat["&amp;A4022&amp;"];"</f>
        <v xml:space="preserve">               sr_paddr_dat[340]  &lt;= sr_paddr_dat[340];</v>
      </c>
    </row>
    <row r="4031" spans="1:2" x14ac:dyDescent="0.3">
      <c r="B4031" t="s">
        <v>4</v>
      </c>
    </row>
    <row r="4032" spans="1:2" x14ac:dyDescent="0.3">
      <c r="B4032" t="s">
        <v>5</v>
      </c>
    </row>
    <row r="4034" spans="1:2" x14ac:dyDescent="0.3">
      <c r="A4034">
        <f>A4022+1</f>
        <v>341</v>
      </c>
      <c r="B4034" t="str">
        <f>"    // Page Address Resister"&amp;A4034</f>
        <v xml:space="preserve">    // Page Address Resister341</v>
      </c>
    </row>
    <row r="4035" spans="1:2" x14ac:dyDescent="0.3">
      <c r="A4035" t="str">
        <f>DEC2HEX(A4034)</f>
        <v>155</v>
      </c>
      <c r="B4035" t="s">
        <v>0</v>
      </c>
    </row>
    <row r="4036" spans="1:2" x14ac:dyDescent="0.3">
      <c r="B4036" t="s">
        <v>1</v>
      </c>
    </row>
    <row r="4037" spans="1:2" x14ac:dyDescent="0.3">
      <c r="B4037" t="str">
        <f>"            sr_paddr_dat["&amp;A4034&amp;"]   &lt;= 24'h0;"</f>
        <v xml:space="preserve">            sr_paddr_dat[341]   &lt;= 24'h0;</v>
      </c>
    </row>
    <row r="4038" spans="1:2" x14ac:dyDescent="0.3">
      <c r="B4038" t="s">
        <v>2</v>
      </c>
    </row>
    <row r="4039" spans="1:2" x14ac:dyDescent="0.3">
      <c r="B4039" t="str">
        <f>"           if (PADDR_CNT == 7'd"&amp;A4034&amp;")"</f>
        <v xml:space="preserve">           if (PADDR_CNT == 7'd341)</v>
      </c>
    </row>
    <row r="4040" spans="1:2" x14ac:dyDescent="0.3">
      <c r="B4040" t="str">
        <f>"               sr_paddr_dat["&amp;A4034&amp;"]  &lt;= sr_page_paddr_buf;"</f>
        <v xml:space="preserve">               sr_paddr_dat[341]  &lt;= sr_page_paddr_buf;</v>
      </c>
    </row>
    <row r="4041" spans="1:2" x14ac:dyDescent="0.3">
      <c r="B4041" t="s">
        <v>3</v>
      </c>
    </row>
    <row r="4042" spans="1:2" x14ac:dyDescent="0.3">
      <c r="B4042" t="str">
        <f>"               sr_paddr_dat["&amp;A4034&amp;"]  &lt;= sr_paddr_dat["&amp;A4034&amp;"];"</f>
        <v xml:space="preserve">               sr_paddr_dat[341]  &lt;= sr_paddr_dat[341];</v>
      </c>
    </row>
    <row r="4043" spans="1:2" x14ac:dyDescent="0.3">
      <c r="B4043" t="s">
        <v>4</v>
      </c>
    </row>
    <row r="4044" spans="1:2" x14ac:dyDescent="0.3">
      <c r="B4044" t="s">
        <v>5</v>
      </c>
    </row>
    <row r="4046" spans="1:2" x14ac:dyDescent="0.3">
      <c r="A4046">
        <f>A4034+1</f>
        <v>342</v>
      </c>
      <c r="B4046" t="str">
        <f>"    // Page Address Resister"&amp;A4046</f>
        <v xml:space="preserve">    // Page Address Resister342</v>
      </c>
    </row>
    <row r="4047" spans="1:2" x14ac:dyDescent="0.3">
      <c r="A4047" t="str">
        <f>DEC2HEX(A4046)</f>
        <v>156</v>
      </c>
      <c r="B4047" t="s">
        <v>0</v>
      </c>
    </row>
    <row r="4048" spans="1:2" x14ac:dyDescent="0.3">
      <c r="B4048" t="s">
        <v>1</v>
      </c>
    </row>
    <row r="4049" spans="1:2" x14ac:dyDescent="0.3">
      <c r="B4049" t="str">
        <f>"            sr_paddr_dat["&amp;A4046&amp;"]   &lt;= 24'h0;"</f>
        <v xml:space="preserve">            sr_paddr_dat[342]   &lt;= 24'h0;</v>
      </c>
    </row>
    <row r="4050" spans="1:2" x14ac:dyDescent="0.3">
      <c r="B4050" t="s">
        <v>2</v>
      </c>
    </row>
    <row r="4051" spans="1:2" x14ac:dyDescent="0.3">
      <c r="B4051" t="str">
        <f>"           if (PADDR_CNT == 7'd"&amp;A4046&amp;")"</f>
        <v xml:space="preserve">           if (PADDR_CNT == 7'd342)</v>
      </c>
    </row>
    <row r="4052" spans="1:2" x14ac:dyDescent="0.3">
      <c r="B4052" t="str">
        <f>"               sr_paddr_dat["&amp;A4046&amp;"]  &lt;= sr_page_paddr_buf;"</f>
        <v xml:space="preserve">               sr_paddr_dat[342]  &lt;= sr_page_paddr_buf;</v>
      </c>
    </row>
    <row r="4053" spans="1:2" x14ac:dyDescent="0.3">
      <c r="B4053" t="s">
        <v>3</v>
      </c>
    </row>
    <row r="4054" spans="1:2" x14ac:dyDescent="0.3">
      <c r="B4054" t="str">
        <f>"               sr_paddr_dat["&amp;A4046&amp;"]  &lt;= sr_paddr_dat["&amp;A4046&amp;"];"</f>
        <v xml:space="preserve">               sr_paddr_dat[342]  &lt;= sr_paddr_dat[342];</v>
      </c>
    </row>
    <row r="4055" spans="1:2" x14ac:dyDescent="0.3">
      <c r="B4055" t="s">
        <v>4</v>
      </c>
    </row>
    <row r="4056" spans="1:2" x14ac:dyDescent="0.3">
      <c r="B4056" t="s">
        <v>5</v>
      </c>
    </row>
    <row r="4058" spans="1:2" x14ac:dyDescent="0.3">
      <c r="A4058">
        <f>A4046+1</f>
        <v>343</v>
      </c>
      <c r="B4058" t="str">
        <f>"    // Page Address Resister"&amp;A4058</f>
        <v xml:space="preserve">    // Page Address Resister343</v>
      </c>
    </row>
    <row r="4059" spans="1:2" x14ac:dyDescent="0.3">
      <c r="A4059" t="str">
        <f>DEC2HEX(A4058)</f>
        <v>157</v>
      </c>
      <c r="B4059" t="s">
        <v>0</v>
      </c>
    </row>
    <row r="4060" spans="1:2" x14ac:dyDescent="0.3">
      <c r="B4060" t="s">
        <v>1</v>
      </c>
    </row>
    <row r="4061" spans="1:2" x14ac:dyDescent="0.3">
      <c r="B4061" t="str">
        <f>"            sr_paddr_dat["&amp;A4058&amp;"]   &lt;= 24'h0;"</f>
        <v xml:space="preserve">            sr_paddr_dat[343]   &lt;= 24'h0;</v>
      </c>
    </row>
    <row r="4062" spans="1:2" x14ac:dyDescent="0.3">
      <c r="B4062" t="s">
        <v>2</v>
      </c>
    </row>
    <row r="4063" spans="1:2" x14ac:dyDescent="0.3">
      <c r="B4063" t="str">
        <f>"           if (PADDR_CNT == 7'd"&amp;A4058&amp;")"</f>
        <v xml:space="preserve">           if (PADDR_CNT == 7'd343)</v>
      </c>
    </row>
    <row r="4064" spans="1:2" x14ac:dyDescent="0.3">
      <c r="B4064" t="str">
        <f>"               sr_paddr_dat["&amp;A4058&amp;"]  &lt;= sr_page_paddr_buf;"</f>
        <v xml:space="preserve">               sr_paddr_dat[343]  &lt;= sr_page_paddr_buf;</v>
      </c>
    </row>
    <row r="4065" spans="1:2" x14ac:dyDescent="0.3">
      <c r="B4065" t="s">
        <v>3</v>
      </c>
    </row>
    <row r="4066" spans="1:2" x14ac:dyDescent="0.3">
      <c r="B4066" t="str">
        <f>"               sr_paddr_dat["&amp;A4058&amp;"]  &lt;= sr_paddr_dat["&amp;A4058&amp;"];"</f>
        <v xml:space="preserve">               sr_paddr_dat[343]  &lt;= sr_paddr_dat[343];</v>
      </c>
    </row>
    <row r="4067" spans="1:2" x14ac:dyDescent="0.3">
      <c r="B4067" t="s">
        <v>4</v>
      </c>
    </row>
    <row r="4068" spans="1:2" x14ac:dyDescent="0.3">
      <c r="B4068" t="s">
        <v>5</v>
      </c>
    </row>
    <row r="4070" spans="1:2" x14ac:dyDescent="0.3">
      <c r="A4070">
        <f>A4058+1</f>
        <v>344</v>
      </c>
      <c r="B4070" t="str">
        <f>"    // Page Address Resister"&amp;A4070</f>
        <v xml:space="preserve">    // Page Address Resister344</v>
      </c>
    </row>
    <row r="4071" spans="1:2" x14ac:dyDescent="0.3">
      <c r="A4071" t="str">
        <f>DEC2HEX(A4070)</f>
        <v>158</v>
      </c>
      <c r="B4071" t="s">
        <v>0</v>
      </c>
    </row>
    <row r="4072" spans="1:2" x14ac:dyDescent="0.3">
      <c r="B4072" t="s">
        <v>1</v>
      </c>
    </row>
    <row r="4073" spans="1:2" x14ac:dyDescent="0.3">
      <c r="B4073" t="str">
        <f>"            sr_paddr_dat["&amp;A4070&amp;"]   &lt;= 24'h0;"</f>
        <v xml:space="preserve">            sr_paddr_dat[344]   &lt;= 24'h0;</v>
      </c>
    </row>
    <row r="4074" spans="1:2" x14ac:dyDescent="0.3">
      <c r="B4074" t="s">
        <v>2</v>
      </c>
    </row>
    <row r="4075" spans="1:2" x14ac:dyDescent="0.3">
      <c r="B4075" t="str">
        <f>"           if (PADDR_CNT == 7'd"&amp;A4070&amp;")"</f>
        <v xml:space="preserve">           if (PADDR_CNT == 7'd344)</v>
      </c>
    </row>
    <row r="4076" spans="1:2" x14ac:dyDescent="0.3">
      <c r="B4076" t="str">
        <f>"               sr_paddr_dat["&amp;A4070&amp;"]  &lt;= sr_page_paddr_buf;"</f>
        <v xml:space="preserve">               sr_paddr_dat[344]  &lt;= sr_page_paddr_buf;</v>
      </c>
    </row>
    <row r="4077" spans="1:2" x14ac:dyDescent="0.3">
      <c r="B4077" t="s">
        <v>3</v>
      </c>
    </row>
    <row r="4078" spans="1:2" x14ac:dyDescent="0.3">
      <c r="B4078" t="str">
        <f>"               sr_paddr_dat["&amp;A4070&amp;"]  &lt;= sr_paddr_dat["&amp;A4070&amp;"];"</f>
        <v xml:space="preserve">               sr_paddr_dat[344]  &lt;= sr_paddr_dat[344];</v>
      </c>
    </row>
    <row r="4079" spans="1:2" x14ac:dyDescent="0.3">
      <c r="B4079" t="s">
        <v>4</v>
      </c>
    </row>
    <row r="4080" spans="1:2" x14ac:dyDescent="0.3">
      <c r="B4080" t="s">
        <v>5</v>
      </c>
    </row>
    <row r="4082" spans="1:2" x14ac:dyDescent="0.3">
      <c r="A4082">
        <f>A4070+1</f>
        <v>345</v>
      </c>
      <c r="B4082" t="str">
        <f>"    // Page Address Resister"&amp;A4082</f>
        <v xml:space="preserve">    // Page Address Resister345</v>
      </c>
    </row>
    <row r="4083" spans="1:2" x14ac:dyDescent="0.3">
      <c r="A4083" t="str">
        <f>DEC2HEX(A4082)</f>
        <v>159</v>
      </c>
      <c r="B4083" t="s">
        <v>0</v>
      </c>
    </row>
    <row r="4084" spans="1:2" x14ac:dyDescent="0.3">
      <c r="B4084" t="s">
        <v>1</v>
      </c>
    </row>
    <row r="4085" spans="1:2" x14ac:dyDescent="0.3">
      <c r="B4085" t="str">
        <f>"            sr_paddr_dat["&amp;A4082&amp;"]   &lt;= 24'h0;"</f>
        <v xml:space="preserve">            sr_paddr_dat[345]   &lt;= 24'h0;</v>
      </c>
    </row>
    <row r="4086" spans="1:2" x14ac:dyDescent="0.3">
      <c r="B4086" t="s">
        <v>2</v>
      </c>
    </row>
    <row r="4087" spans="1:2" x14ac:dyDescent="0.3">
      <c r="B4087" t="str">
        <f>"           if (PADDR_CNT == 7'd"&amp;A4082&amp;")"</f>
        <v xml:space="preserve">           if (PADDR_CNT == 7'd345)</v>
      </c>
    </row>
    <row r="4088" spans="1:2" x14ac:dyDescent="0.3">
      <c r="B4088" t="str">
        <f>"               sr_paddr_dat["&amp;A4082&amp;"]  &lt;= sr_page_paddr_buf;"</f>
        <v xml:space="preserve">               sr_paddr_dat[345]  &lt;= sr_page_paddr_buf;</v>
      </c>
    </row>
    <row r="4089" spans="1:2" x14ac:dyDescent="0.3">
      <c r="B4089" t="s">
        <v>3</v>
      </c>
    </row>
    <row r="4090" spans="1:2" x14ac:dyDescent="0.3">
      <c r="B4090" t="str">
        <f>"               sr_paddr_dat["&amp;A4082&amp;"]  &lt;= sr_paddr_dat["&amp;A4082&amp;"];"</f>
        <v xml:space="preserve">               sr_paddr_dat[345]  &lt;= sr_paddr_dat[345];</v>
      </c>
    </row>
    <row r="4091" spans="1:2" x14ac:dyDescent="0.3">
      <c r="B4091" t="s">
        <v>4</v>
      </c>
    </row>
    <row r="4092" spans="1:2" x14ac:dyDescent="0.3">
      <c r="B4092" t="s">
        <v>5</v>
      </c>
    </row>
    <row r="4094" spans="1:2" x14ac:dyDescent="0.3">
      <c r="A4094">
        <f>A4082+1</f>
        <v>346</v>
      </c>
      <c r="B4094" t="str">
        <f>"    // Page Address Resister"&amp;A4094</f>
        <v xml:space="preserve">    // Page Address Resister346</v>
      </c>
    </row>
    <row r="4095" spans="1:2" x14ac:dyDescent="0.3">
      <c r="A4095" t="str">
        <f>DEC2HEX(A4094)</f>
        <v>15A</v>
      </c>
      <c r="B4095" t="s">
        <v>0</v>
      </c>
    </row>
    <row r="4096" spans="1:2" x14ac:dyDescent="0.3">
      <c r="B4096" t="s">
        <v>1</v>
      </c>
    </row>
    <row r="4097" spans="1:2" x14ac:dyDescent="0.3">
      <c r="B4097" t="str">
        <f>"            sr_paddr_dat["&amp;A4094&amp;"]   &lt;= 24'h0;"</f>
        <v xml:space="preserve">            sr_paddr_dat[346]   &lt;= 24'h0;</v>
      </c>
    </row>
    <row r="4098" spans="1:2" x14ac:dyDescent="0.3">
      <c r="B4098" t="s">
        <v>2</v>
      </c>
    </row>
    <row r="4099" spans="1:2" x14ac:dyDescent="0.3">
      <c r="B4099" t="str">
        <f>"           if (PADDR_CNT == 7'd"&amp;A4094&amp;")"</f>
        <v xml:space="preserve">           if (PADDR_CNT == 7'd346)</v>
      </c>
    </row>
    <row r="4100" spans="1:2" x14ac:dyDescent="0.3">
      <c r="B4100" t="str">
        <f>"               sr_paddr_dat["&amp;A4094&amp;"]  &lt;= sr_page_paddr_buf;"</f>
        <v xml:space="preserve">               sr_paddr_dat[346]  &lt;= sr_page_paddr_buf;</v>
      </c>
    </row>
    <row r="4101" spans="1:2" x14ac:dyDescent="0.3">
      <c r="B4101" t="s">
        <v>3</v>
      </c>
    </row>
    <row r="4102" spans="1:2" x14ac:dyDescent="0.3">
      <c r="B4102" t="str">
        <f>"               sr_paddr_dat["&amp;A4094&amp;"]  &lt;= sr_paddr_dat["&amp;A4094&amp;"];"</f>
        <v xml:space="preserve">               sr_paddr_dat[346]  &lt;= sr_paddr_dat[346];</v>
      </c>
    </row>
    <row r="4103" spans="1:2" x14ac:dyDescent="0.3">
      <c r="B4103" t="s">
        <v>4</v>
      </c>
    </row>
    <row r="4104" spans="1:2" x14ac:dyDescent="0.3">
      <c r="B4104" t="s">
        <v>5</v>
      </c>
    </row>
    <row r="4106" spans="1:2" x14ac:dyDescent="0.3">
      <c r="A4106">
        <f>A4094+1</f>
        <v>347</v>
      </c>
      <c r="B4106" t="str">
        <f>"    // Page Address Resister"&amp;A4106</f>
        <v xml:space="preserve">    // Page Address Resister347</v>
      </c>
    </row>
    <row r="4107" spans="1:2" x14ac:dyDescent="0.3">
      <c r="A4107" t="str">
        <f>DEC2HEX(A4106)</f>
        <v>15B</v>
      </c>
      <c r="B4107" t="s">
        <v>0</v>
      </c>
    </row>
    <row r="4108" spans="1:2" x14ac:dyDescent="0.3">
      <c r="B4108" t="s">
        <v>1</v>
      </c>
    </row>
    <row r="4109" spans="1:2" x14ac:dyDescent="0.3">
      <c r="B4109" t="str">
        <f>"            sr_paddr_dat["&amp;A4106&amp;"]   &lt;= 24'h0;"</f>
        <v xml:space="preserve">            sr_paddr_dat[347]   &lt;= 24'h0;</v>
      </c>
    </row>
    <row r="4110" spans="1:2" x14ac:dyDescent="0.3">
      <c r="B4110" t="s">
        <v>2</v>
      </c>
    </row>
    <row r="4111" spans="1:2" x14ac:dyDescent="0.3">
      <c r="B4111" t="str">
        <f>"           if (PADDR_CNT == 7'd"&amp;A4106&amp;")"</f>
        <v xml:space="preserve">           if (PADDR_CNT == 7'd347)</v>
      </c>
    </row>
    <row r="4112" spans="1:2" x14ac:dyDescent="0.3">
      <c r="B4112" t="str">
        <f>"               sr_paddr_dat["&amp;A4106&amp;"]  &lt;= sr_page_paddr_buf;"</f>
        <v xml:space="preserve">               sr_paddr_dat[347]  &lt;= sr_page_paddr_buf;</v>
      </c>
    </row>
    <row r="4113" spans="1:2" x14ac:dyDescent="0.3">
      <c r="B4113" t="s">
        <v>3</v>
      </c>
    </row>
    <row r="4114" spans="1:2" x14ac:dyDescent="0.3">
      <c r="B4114" t="str">
        <f>"               sr_paddr_dat["&amp;A4106&amp;"]  &lt;= sr_paddr_dat["&amp;A4106&amp;"];"</f>
        <v xml:space="preserve">               sr_paddr_dat[347]  &lt;= sr_paddr_dat[347];</v>
      </c>
    </row>
    <row r="4115" spans="1:2" x14ac:dyDescent="0.3">
      <c r="B4115" t="s">
        <v>4</v>
      </c>
    </row>
    <row r="4116" spans="1:2" x14ac:dyDescent="0.3">
      <c r="B4116" t="s">
        <v>5</v>
      </c>
    </row>
    <row r="4118" spans="1:2" x14ac:dyDescent="0.3">
      <c r="A4118">
        <f>A4106+1</f>
        <v>348</v>
      </c>
      <c r="B4118" t="str">
        <f>"    // Page Address Resister"&amp;A4118</f>
        <v xml:space="preserve">    // Page Address Resister348</v>
      </c>
    </row>
    <row r="4119" spans="1:2" x14ac:dyDescent="0.3">
      <c r="A4119" t="str">
        <f>DEC2HEX(A4118)</f>
        <v>15C</v>
      </c>
      <c r="B4119" t="s">
        <v>0</v>
      </c>
    </row>
    <row r="4120" spans="1:2" x14ac:dyDescent="0.3">
      <c r="B4120" t="s">
        <v>1</v>
      </c>
    </row>
    <row r="4121" spans="1:2" x14ac:dyDescent="0.3">
      <c r="B4121" t="str">
        <f>"            sr_paddr_dat["&amp;A4118&amp;"]   &lt;= 24'h0;"</f>
        <v xml:space="preserve">            sr_paddr_dat[348]   &lt;= 24'h0;</v>
      </c>
    </row>
    <row r="4122" spans="1:2" x14ac:dyDescent="0.3">
      <c r="B4122" t="s">
        <v>2</v>
      </c>
    </row>
    <row r="4123" spans="1:2" x14ac:dyDescent="0.3">
      <c r="B4123" t="str">
        <f>"           if (PADDR_CNT == 7'd"&amp;A4118&amp;")"</f>
        <v xml:space="preserve">           if (PADDR_CNT == 7'd348)</v>
      </c>
    </row>
    <row r="4124" spans="1:2" x14ac:dyDescent="0.3">
      <c r="B4124" t="str">
        <f>"               sr_paddr_dat["&amp;A4118&amp;"]  &lt;= sr_page_paddr_buf;"</f>
        <v xml:space="preserve">               sr_paddr_dat[348]  &lt;= sr_page_paddr_buf;</v>
      </c>
    </row>
    <row r="4125" spans="1:2" x14ac:dyDescent="0.3">
      <c r="B4125" t="s">
        <v>3</v>
      </c>
    </row>
    <row r="4126" spans="1:2" x14ac:dyDescent="0.3">
      <c r="B4126" t="str">
        <f>"               sr_paddr_dat["&amp;A4118&amp;"]  &lt;= sr_paddr_dat["&amp;A4118&amp;"];"</f>
        <v xml:space="preserve">               sr_paddr_dat[348]  &lt;= sr_paddr_dat[348];</v>
      </c>
    </row>
    <row r="4127" spans="1:2" x14ac:dyDescent="0.3">
      <c r="B4127" t="s">
        <v>4</v>
      </c>
    </row>
    <row r="4128" spans="1:2" x14ac:dyDescent="0.3">
      <c r="B4128" t="s">
        <v>5</v>
      </c>
    </row>
    <row r="4130" spans="1:2" x14ac:dyDescent="0.3">
      <c r="A4130">
        <f>A4118+1</f>
        <v>349</v>
      </c>
      <c r="B4130" t="str">
        <f>"    // Page Address Resister"&amp;A4130</f>
        <v xml:space="preserve">    // Page Address Resister349</v>
      </c>
    </row>
    <row r="4131" spans="1:2" x14ac:dyDescent="0.3">
      <c r="A4131" t="str">
        <f>DEC2HEX(A4130)</f>
        <v>15D</v>
      </c>
      <c r="B4131" t="s">
        <v>0</v>
      </c>
    </row>
    <row r="4132" spans="1:2" x14ac:dyDescent="0.3">
      <c r="B4132" t="s">
        <v>1</v>
      </c>
    </row>
    <row r="4133" spans="1:2" x14ac:dyDescent="0.3">
      <c r="B4133" t="str">
        <f>"            sr_paddr_dat["&amp;A4130&amp;"]   &lt;= 24'h0;"</f>
        <v xml:space="preserve">            sr_paddr_dat[349]   &lt;= 24'h0;</v>
      </c>
    </row>
    <row r="4134" spans="1:2" x14ac:dyDescent="0.3">
      <c r="B4134" t="s">
        <v>2</v>
      </c>
    </row>
    <row r="4135" spans="1:2" x14ac:dyDescent="0.3">
      <c r="B4135" t="str">
        <f>"           if (PADDR_CNT == 7'd"&amp;A4130&amp;")"</f>
        <v xml:space="preserve">           if (PADDR_CNT == 7'd349)</v>
      </c>
    </row>
    <row r="4136" spans="1:2" x14ac:dyDescent="0.3">
      <c r="B4136" t="str">
        <f>"               sr_paddr_dat["&amp;A4130&amp;"]  &lt;= sr_page_paddr_buf;"</f>
        <v xml:space="preserve">               sr_paddr_dat[349]  &lt;= sr_page_paddr_buf;</v>
      </c>
    </row>
    <row r="4137" spans="1:2" x14ac:dyDescent="0.3">
      <c r="B4137" t="s">
        <v>3</v>
      </c>
    </row>
    <row r="4138" spans="1:2" x14ac:dyDescent="0.3">
      <c r="B4138" t="str">
        <f>"               sr_paddr_dat["&amp;A4130&amp;"]  &lt;= sr_paddr_dat["&amp;A4130&amp;"];"</f>
        <v xml:space="preserve">               sr_paddr_dat[349]  &lt;= sr_paddr_dat[349];</v>
      </c>
    </row>
    <row r="4139" spans="1:2" x14ac:dyDescent="0.3">
      <c r="B4139" t="s">
        <v>4</v>
      </c>
    </row>
    <row r="4140" spans="1:2" x14ac:dyDescent="0.3">
      <c r="B4140" t="s">
        <v>5</v>
      </c>
    </row>
    <row r="4142" spans="1:2" x14ac:dyDescent="0.3">
      <c r="A4142">
        <f>A4130+1</f>
        <v>350</v>
      </c>
      <c r="B4142" t="str">
        <f>"    // Page Address Resister"&amp;A4142</f>
        <v xml:space="preserve">    // Page Address Resister350</v>
      </c>
    </row>
    <row r="4143" spans="1:2" x14ac:dyDescent="0.3">
      <c r="A4143" t="str">
        <f>DEC2HEX(A4142)</f>
        <v>15E</v>
      </c>
      <c r="B4143" t="s">
        <v>0</v>
      </c>
    </row>
    <row r="4144" spans="1:2" x14ac:dyDescent="0.3">
      <c r="B4144" t="s">
        <v>1</v>
      </c>
    </row>
    <row r="4145" spans="1:2" x14ac:dyDescent="0.3">
      <c r="B4145" t="str">
        <f>"            sr_paddr_dat["&amp;A4142&amp;"]   &lt;= 24'h0;"</f>
        <v xml:space="preserve">            sr_paddr_dat[350]   &lt;= 24'h0;</v>
      </c>
    </row>
    <row r="4146" spans="1:2" x14ac:dyDescent="0.3">
      <c r="B4146" t="s">
        <v>2</v>
      </c>
    </row>
    <row r="4147" spans="1:2" x14ac:dyDescent="0.3">
      <c r="B4147" t="str">
        <f>"           if (PADDR_CNT == 7'd"&amp;A4142&amp;")"</f>
        <v xml:space="preserve">           if (PADDR_CNT == 7'd350)</v>
      </c>
    </row>
    <row r="4148" spans="1:2" x14ac:dyDescent="0.3">
      <c r="B4148" t="str">
        <f>"               sr_paddr_dat["&amp;A4142&amp;"]  &lt;= sr_page_paddr_buf;"</f>
        <v xml:space="preserve">               sr_paddr_dat[350]  &lt;= sr_page_paddr_buf;</v>
      </c>
    </row>
    <row r="4149" spans="1:2" x14ac:dyDescent="0.3">
      <c r="B4149" t="s">
        <v>3</v>
      </c>
    </row>
    <row r="4150" spans="1:2" x14ac:dyDescent="0.3">
      <c r="B4150" t="str">
        <f>"               sr_paddr_dat["&amp;A4142&amp;"]  &lt;= sr_paddr_dat["&amp;A4142&amp;"];"</f>
        <v xml:space="preserve">               sr_paddr_dat[350]  &lt;= sr_paddr_dat[350];</v>
      </c>
    </row>
    <row r="4151" spans="1:2" x14ac:dyDescent="0.3">
      <c r="B4151" t="s">
        <v>4</v>
      </c>
    </row>
    <row r="4152" spans="1:2" x14ac:dyDescent="0.3">
      <c r="B4152" t="s">
        <v>5</v>
      </c>
    </row>
    <row r="4154" spans="1:2" x14ac:dyDescent="0.3">
      <c r="A4154">
        <f>A4142+1</f>
        <v>351</v>
      </c>
      <c r="B4154" t="str">
        <f>"    // Page Address Resister"&amp;A4154</f>
        <v xml:space="preserve">    // Page Address Resister351</v>
      </c>
    </row>
    <row r="4155" spans="1:2" x14ac:dyDescent="0.3">
      <c r="A4155" t="str">
        <f>DEC2HEX(A4154)</f>
        <v>15F</v>
      </c>
      <c r="B4155" t="s">
        <v>0</v>
      </c>
    </row>
    <row r="4156" spans="1:2" x14ac:dyDescent="0.3">
      <c r="B4156" t="s">
        <v>1</v>
      </c>
    </row>
    <row r="4157" spans="1:2" x14ac:dyDescent="0.3">
      <c r="B4157" t="str">
        <f>"            sr_paddr_dat["&amp;A4154&amp;"]   &lt;= 24'h0;"</f>
        <v xml:space="preserve">            sr_paddr_dat[351]   &lt;= 24'h0;</v>
      </c>
    </row>
    <row r="4158" spans="1:2" x14ac:dyDescent="0.3">
      <c r="B4158" t="s">
        <v>2</v>
      </c>
    </row>
    <row r="4159" spans="1:2" x14ac:dyDescent="0.3">
      <c r="B4159" t="str">
        <f>"           if (PADDR_CNT == 7'd"&amp;A4154&amp;")"</f>
        <v xml:space="preserve">           if (PADDR_CNT == 7'd351)</v>
      </c>
    </row>
    <row r="4160" spans="1:2" x14ac:dyDescent="0.3">
      <c r="B4160" t="str">
        <f>"               sr_paddr_dat["&amp;A4154&amp;"]  &lt;= sr_page_paddr_buf;"</f>
        <v xml:space="preserve">               sr_paddr_dat[351]  &lt;= sr_page_paddr_buf;</v>
      </c>
    </row>
    <row r="4161" spans="1:2" x14ac:dyDescent="0.3">
      <c r="B4161" t="s">
        <v>3</v>
      </c>
    </row>
    <row r="4162" spans="1:2" x14ac:dyDescent="0.3">
      <c r="B4162" t="str">
        <f>"               sr_paddr_dat["&amp;A4154&amp;"]  &lt;= sr_paddr_dat["&amp;A4154&amp;"];"</f>
        <v xml:space="preserve">               sr_paddr_dat[351]  &lt;= sr_paddr_dat[351];</v>
      </c>
    </row>
    <row r="4163" spans="1:2" x14ac:dyDescent="0.3">
      <c r="B4163" t="s">
        <v>4</v>
      </c>
    </row>
    <row r="4164" spans="1:2" x14ac:dyDescent="0.3">
      <c r="B4164" t="s">
        <v>5</v>
      </c>
    </row>
    <row r="4166" spans="1:2" x14ac:dyDescent="0.3">
      <c r="A4166">
        <f>A4154+1</f>
        <v>352</v>
      </c>
      <c r="B4166" t="str">
        <f>"    // Page Address Resister"&amp;A4166</f>
        <v xml:space="preserve">    // Page Address Resister352</v>
      </c>
    </row>
    <row r="4167" spans="1:2" x14ac:dyDescent="0.3">
      <c r="A4167" t="str">
        <f>DEC2HEX(A4166)</f>
        <v>160</v>
      </c>
      <c r="B4167" t="s">
        <v>0</v>
      </c>
    </row>
    <row r="4168" spans="1:2" x14ac:dyDescent="0.3">
      <c r="B4168" t="s">
        <v>1</v>
      </c>
    </row>
    <row r="4169" spans="1:2" x14ac:dyDescent="0.3">
      <c r="B4169" t="str">
        <f>"            sr_paddr_dat["&amp;A4166&amp;"]   &lt;= 24'h0;"</f>
        <v xml:space="preserve">            sr_paddr_dat[352]   &lt;= 24'h0;</v>
      </c>
    </row>
    <row r="4170" spans="1:2" x14ac:dyDescent="0.3">
      <c r="B4170" t="s">
        <v>2</v>
      </c>
    </row>
    <row r="4171" spans="1:2" x14ac:dyDescent="0.3">
      <c r="B4171" t="str">
        <f>"           if (PADDR_CNT == 7'd"&amp;A4166&amp;")"</f>
        <v xml:space="preserve">           if (PADDR_CNT == 7'd352)</v>
      </c>
    </row>
    <row r="4172" spans="1:2" x14ac:dyDescent="0.3">
      <c r="B4172" t="str">
        <f>"               sr_paddr_dat["&amp;A4166&amp;"]  &lt;= sr_page_paddr_buf;"</f>
        <v xml:space="preserve">               sr_paddr_dat[352]  &lt;= sr_page_paddr_buf;</v>
      </c>
    </row>
    <row r="4173" spans="1:2" x14ac:dyDescent="0.3">
      <c r="B4173" t="s">
        <v>3</v>
      </c>
    </row>
    <row r="4174" spans="1:2" x14ac:dyDescent="0.3">
      <c r="B4174" t="str">
        <f>"               sr_paddr_dat["&amp;A4166&amp;"]  &lt;= sr_paddr_dat["&amp;A4166&amp;"];"</f>
        <v xml:space="preserve">               sr_paddr_dat[352]  &lt;= sr_paddr_dat[352];</v>
      </c>
    </row>
    <row r="4175" spans="1:2" x14ac:dyDescent="0.3">
      <c r="B4175" t="s">
        <v>4</v>
      </c>
    </row>
    <row r="4176" spans="1:2" x14ac:dyDescent="0.3">
      <c r="B4176" t="s">
        <v>5</v>
      </c>
    </row>
    <row r="4178" spans="1:2" x14ac:dyDescent="0.3">
      <c r="A4178">
        <f>A4166+1</f>
        <v>353</v>
      </c>
      <c r="B4178" t="str">
        <f>"    // Page Address Resister"&amp;A4178</f>
        <v xml:space="preserve">    // Page Address Resister353</v>
      </c>
    </row>
    <row r="4179" spans="1:2" x14ac:dyDescent="0.3">
      <c r="A4179" t="str">
        <f>DEC2HEX(A4178)</f>
        <v>161</v>
      </c>
      <c r="B4179" t="s">
        <v>0</v>
      </c>
    </row>
    <row r="4180" spans="1:2" x14ac:dyDescent="0.3">
      <c r="B4180" t="s">
        <v>1</v>
      </c>
    </row>
    <row r="4181" spans="1:2" x14ac:dyDescent="0.3">
      <c r="B4181" t="str">
        <f>"            sr_paddr_dat["&amp;A4178&amp;"]   &lt;= 24'h0;"</f>
        <v xml:space="preserve">            sr_paddr_dat[353]   &lt;= 24'h0;</v>
      </c>
    </row>
    <row r="4182" spans="1:2" x14ac:dyDescent="0.3">
      <c r="B4182" t="s">
        <v>2</v>
      </c>
    </row>
    <row r="4183" spans="1:2" x14ac:dyDescent="0.3">
      <c r="B4183" t="str">
        <f>"           if (PADDR_CNT == 7'd"&amp;A4178&amp;")"</f>
        <v xml:space="preserve">           if (PADDR_CNT == 7'd353)</v>
      </c>
    </row>
    <row r="4184" spans="1:2" x14ac:dyDescent="0.3">
      <c r="B4184" t="str">
        <f>"               sr_paddr_dat["&amp;A4178&amp;"]  &lt;= sr_page_paddr_buf;"</f>
        <v xml:space="preserve">               sr_paddr_dat[353]  &lt;= sr_page_paddr_buf;</v>
      </c>
    </row>
    <row r="4185" spans="1:2" x14ac:dyDescent="0.3">
      <c r="B4185" t="s">
        <v>3</v>
      </c>
    </row>
    <row r="4186" spans="1:2" x14ac:dyDescent="0.3">
      <c r="B4186" t="str">
        <f>"               sr_paddr_dat["&amp;A4178&amp;"]  &lt;= sr_paddr_dat["&amp;A4178&amp;"];"</f>
        <v xml:space="preserve">               sr_paddr_dat[353]  &lt;= sr_paddr_dat[353];</v>
      </c>
    </row>
    <row r="4187" spans="1:2" x14ac:dyDescent="0.3">
      <c r="B4187" t="s">
        <v>4</v>
      </c>
    </row>
    <row r="4188" spans="1:2" x14ac:dyDescent="0.3">
      <c r="B4188" t="s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6"/>
  <sheetViews>
    <sheetView topLeftCell="A166" workbookViewId="0">
      <selection activeCell="D63" sqref="D63:D194"/>
    </sheetView>
  </sheetViews>
  <sheetFormatPr defaultRowHeight="15" x14ac:dyDescent="0.3"/>
  <sheetData>
    <row r="1" spans="1:4" x14ac:dyDescent="0.3">
      <c r="A1">
        <v>44</v>
      </c>
      <c r="B1">
        <f>HEX2DEC(A1)</f>
        <v>68</v>
      </c>
    </row>
    <row r="2" spans="1:4" x14ac:dyDescent="0.3">
      <c r="A2">
        <v>63</v>
      </c>
      <c r="B2" t="str">
        <f>DEC2HEX(C2,4)</f>
        <v>0140</v>
      </c>
      <c r="C2">
        <f>$B$1+A2*4</f>
        <v>320</v>
      </c>
      <c r="D2" t="str">
        <f>"    parameter p_paddr_"&amp;A2&amp;"             = 16'h"&amp;B2&amp;";"</f>
        <v xml:space="preserve">    parameter p_paddr_63             = 16'h0140;</v>
      </c>
    </row>
    <row r="3" spans="1:4" x14ac:dyDescent="0.3">
      <c r="A3">
        <v>64</v>
      </c>
      <c r="B3" t="str">
        <f t="shared" ref="B3:B62" si="0">DEC2HEX(C3,4)</f>
        <v>0144</v>
      </c>
      <c r="C3">
        <f t="shared" ref="C3:C9" si="1">$B$1+A3*4</f>
        <v>324</v>
      </c>
      <c r="D3" t="str">
        <f t="shared" ref="D3:D9" si="2">"    parameter p_paddr_"&amp;A3&amp;"             = 16'h"&amp;B3&amp;";"</f>
        <v xml:space="preserve">    parameter p_paddr_64             = 16'h0144;</v>
      </c>
    </row>
    <row r="4" spans="1:4" x14ac:dyDescent="0.3">
      <c r="A4">
        <v>65</v>
      </c>
      <c r="B4" t="str">
        <f t="shared" si="0"/>
        <v>0148</v>
      </c>
      <c r="C4">
        <f t="shared" si="1"/>
        <v>328</v>
      </c>
      <c r="D4" t="str">
        <f t="shared" si="2"/>
        <v xml:space="preserve">    parameter p_paddr_65             = 16'h0148;</v>
      </c>
    </row>
    <row r="5" spans="1:4" x14ac:dyDescent="0.3">
      <c r="A5">
        <v>66</v>
      </c>
      <c r="B5" t="str">
        <f t="shared" si="0"/>
        <v>014C</v>
      </c>
      <c r="C5">
        <f t="shared" si="1"/>
        <v>332</v>
      </c>
      <c r="D5" t="str">
        <f t="shared" si="2"/>
        <v xml:space="preserve">    parameter p_paddr_66             = 16'h014C;</v>
      </c>
    </row>
    <row r="6" spans="1:4" x14ac:dyDescent="0.3">
      <c r="A6">
        <v>67</v>
      </c>
      <c r="B6" t="str">
        <f t="shared" si="0"/>
        <v>0150</v>
      </c>
      <c r="C6">
        <f t="shared" si="1"/>
        <v>336</v>
      </c>
      <c r="D6" t="str">
        <f t="shared" si="2"/>
        <v xml:space="preserve">    parameter p_paddr_67             = 16'h0150;</v>
      </c>
    </row>
    <row r="7" spans="1:4" x14ac:dyDescent="0.3">
      <c r="A7">
        <v>68</v>
      </c>
      <c r="B7" t="str">
        <f t="shared" si="0"/>
        <v>0154</v>
      </c>
      <c r="C7">
        <f t="shared" si="1"/>
        <v>340</v>
      </c>
      <c r="D7" t="str">
        <f t="shared" si="2"/>
        <v xml:space="preserve">    parameter p_paddr_68             = 16'h0154;</v>
      </c>
    </row>
    <row r="8" spans="1:4" x14ac:dyDescent="0.3">
      <c r="A8">
        <v>69</v>
      </c>
      <c r="B8" t="str">
        <f t="shared" si="0"/>
        <v>0158</v>
      </c>
      <c r="C8">
        <f t="shared" si="1"/>
        <v>344</v>
      </c>
      <c r="D8" t="str">
        <f t="shared" si="2"/>
        <v xml:space="preserve">    parameter p_paddr_69             = 16'h0158;</v>
      </c>
    </row>
    <row r="9" spans="1:4" x14ac:dyDescent="0.3">
      <c r="A9">
        <v>70</v>
      </c>
      <c r="B9" t="str">
        <f t="shared" si="0"/>
        <v>015C</v>
      </c>
      <c r="C9">
        <f t="shared" si="1"/>
        <v>348</v>
      </c>
      <c r="D9" t="str">
        <f t="shared" si="2"/>
        <v xml:space="preserve">    parameter p_paddr_70             = 16'h015C;</v>
      </c>
    </row>
    <row r="10" spans="1:4" x14ac:dyDescent="0.3">
      <c r="A10">
        <v>71</v>
      </c>
      <c r="B10" t="str">
        <f t="shared" si="0"/>
        <v>0160</v>
      </c>
      <c r="C10">
        <f t="shared" ref="C10:C29" si="3">$B$1+A10*4</f>
        <v>352</v>
      </c>
      <c r="D10" t="str">
        <f t="shared" ref="D10:D29" si="4">"    parameter p_paddr_"&amp;A10&amp;"             = 16'h"&amp;B10&amp;";"</f>
        <v xml:space="preserve">    parameter p_paddr_71             = 16'h0160;</v>
      </c>
    </row>
    <row r="11" spans="1:4" x14ac:dyDescent="0.3">
      <c r="A11">
        <v>72</v>
      </c>
      <c r="B11" t="str">
        <f t="shared" si="0"/>
        <v>0164</v>
      </c>
      <c r="C11">
        <f t="shared" si="3"/>
        <v>356</v>
      </c>
      <c r="D11" t="str">
        <f t="shared" si="4"/>
        <v xml:space="preserve">    parameter p_paddr_72             = 16'h0164;</v>
      </c>
    </row>
    <row r="12" spans="1:4" x14ac:dyDescent="0.3">
      <c r="A12">
        <v>73</v>
      </c>
      <c r="B12" t="str">
        <f t="shared" si="0"/>
        <v>0168</v>
      </c>
      <c r="C12">
        <f t="shared" si="3"/>
        <v>360</v>
      </c>
      <c r="D12" t="str">
        <f t="shared" si="4"/>
        <v xml:space="preserve">    parameter p_paddr_73             = 16'h0168;</v>
      </c>
    </row>
    <row r="13" spans="1:4" x14ac:dyDescent="0.3">
      <c r="A13">
        <v>74</v>
      </c>
      <c r="B13" t="str">
        <f t="shared" si="0"/>
        <v>016C</v>
      </c>
      <c r="C13">
        <f t="shared" si="3"/>
        <v>364</v>
      </c>
      <c r="D13" t="str">
        <f t="shared" si="4"/>
        <v xml:space="preserve">    parameter p_paddr_74             = 16'h016C;</v>
      </c>
    </row>
    <row r="14" spans="1:4" x14ac:dyDescent="0.3">
      <c r="A14">
        <v>75</v>
      </c>
      <c r="B14" t="str">
        <f t="shared" si="0"/>
        <v>0170</v>
      </c>
      <c r="C14">
        <f t="shared" si="3"/>
        <v>368</v>
      </c>
      <c r="D14" t="str">
        <f t="shared" si="4"/>
        <v xml:space="preserve">    parameter p_paddr_75             = 16'h0170;</v>
      </c>
    </row>
    <row r="15" spans="1:4" x14ac:dyDescent="0.3">
      <c r="A15">
        <v>76</v>
      </c>
      <c r="B15" t="str">
        <f t="shared" si="0"/>
        <v>0174</v>
      </c>
      <c r="C15">
        <f t="shared" si="3"/>
        <v>372</v>
      </c>
      <c r="D15" t="str">
        <f t="shared" si="4"/>
        <v xml:space="preserve">    parameter p_paddr_76             = 16'h0174;</v>
      </c>
    </row>
    <row r="16" spans="1:4" x14ac:dyDescent="0.3">
      <c r="A16">
        <v>77</v>
      </c>
      <c r="B16" t="str">
        <f t="shared" si="0"/>
        <v>0178</v>
      </c>
      <c r="C16">
        <f t="shared" si="3"/>
        <v>376</v>
      </c>
      <c r="D16" t="str">
        <f t="shared" si="4"/>
        <v xml:space="preserve">    parameter p_paddr_77             = 16'h0178;</v>
      </c>
    </row>
    <row r="17" spans="1:4" x14ac:dyDescent="0.3">
      <c r="A17">
        <v>78</v>
      </c>
      <c r="B17" t="str">
        <f t="shared" si="0"/>
        <v>017C</v>
      </c>
      <c r="C17">
        <f t="shared" si="3"/>
        <v>380</v>
      </c>
      <c r="D17" t="str">
        <f t="shared" si="4"/>
        <v xml:space="preserve">    parameter p_paddr_78             = 16'h017C;</v>
      </c>
    </row>
    <row r="18" spans="1:4" x14ac:dyDescent="0.3">
      <c r="A18">
        <v>79</v>
      </c>
      <c r="B18" t="str">
        <f t="shared" si="0"/>
        <v>0180</v>
      </c>
      <c r="C18">
        <f t="shared" si="3"/>
        <v>384</v>
      </c>
      <c r="D18" t="str">
        <f t="shared" si="4"/>
        <v xml:space="preserve">    parameter p_paddr_79             = 16'h0180;</v>
      </c>
    </row>
    <row r="19" spans="1:4" x14ac:dyDescent="0.3">
      <c r="A19">
        <v>80</v>
      </c>
      <c r="B19" t="str">
        <f t="shared" si="0"/>
        <v>0184</v>
      </c>
      <c r="C19">
        <f t="shared" si="3"/>
        <v>388</v>
      </c>
      <c r="D19" t="str">
        <f t="shared" si="4"/>
        <v xml:space="preserve">    parameter p_paddr_80             = 16'h0184;</v>
      </c>
    </row>
    <row r="20" spans="1:4" x14ac:dyDescent="0.3">
      <c r="A20">
        <v>81</v>
      </c>
      <c r="B20" t="str">
        <f t="shared" si="0"/>
        <v>0188</v>
      </c>
      <c r="C20">
        <f t="shared" si="3"/>
        <v>392</v>
      </c>
      <c r="D20" t="str">
        <f t="shared" si="4"/>
        <v xml:space="preserve">    parameter p_paddr_81             = 16'h0188;</v>
      </c>
    </row>
    <row r="21" spans="1:4" x14ac:dyDescent="0.3">
      <c r="A21">
        <v>82</v>
      </c>
      <c r="B21" t="str">
        <f t="shared" si="0"/>
        <v>018C</v>
      </c>
      <c r="C21">
        <f t="shared" si="3"/>
        <v>396</v>
      </c>
      <c r="D21" t="str">
        <f t="shared" si="4"/>
        <v xml:space="preserve">    parameter p_paddr_82             = 16'h018C;</v>
      </c>
    </row>
    <row r="22" spans="1:4" x14ac:dyDescent="0.3">
      <c r="A22">
        <v>83</v>
      </c>
      <c r="B22" t="str">
        <f t="shared" si="0"/>
        <v>0190</v>
      </c>
      <c r="C22">
        <f t="shared" si="3"/>
        <v>400</v>
      </c>
      <c r="D22" t="str">
        <f t="shared" si="4"/>
        <v xml:space="preserve">    parameter p_paddr_83             = 16'h0190;</v>
      </c>
    </row>
    <row r="23" spans="1:4" x14ac:dyDescent="0.3">
      <c r="A23">
        <v>84</v>
      </c>
      <c r="B23" t="str">
        <f t="shared" si="0"/>
        <v>0194</v>
      </c>
      <c r="C23">
        <f t="shared" si="3"/>
        <v>404</v>
      </c>
      <c r="D23" t="str">
        <f t="shared" si="4"/>
        <v xml:space="preserve">    parameter p_paddr_84             = 16'h0194;</v>
      </c>
    </row>
    <row r="24" spans="1:4" x14ac:dyDescent="0.3">
      <c r="A24">
        <v>85</v>
      </c>
      <c r="B24" t="str">
        <f t="shared" si="0"/>
        <v>0198</v>
      </c>
      <c r="C24">
        <f t="shared" si="3"/>
        <v>408</v>
      </c>
      <c r="D24" t="str">
        <f t="shared" si="4"/>
        <v xml:space="preserve">    parameter p_paddr_85             = 16'h0198;</v>
      </c>
    </row>
    <row r="25" spans="1:4" x14ac:dyDescent="0.3">
      <c r="A25">
        <v>86</v>
      </c>
      <c r="B25" t="str">
        <f t="shared" si="0"/>
        <v>019C</v>
      </c>
      <c r="C25">
        <f t="shared" si="3"/>
        <v>412</v>
      </c>
      <c r="D25" t="str">
        <f t="shared" si="4"/>
        <v xml:space="preserve">    parameter p_paddr_86             = 16'h019C;</v>
      </c>
    </row>
    <row r="26" spans="1:4" x14ac:dyDescent="0.3">
      <c r="A26">
        <v>87</v>
      </c>
      <c r="B26" t="str">
        <f t="shared" si="0"/>
        <v>01A0</v>
      </c>
      <c r="C26">
        <f t="shared" si="3"/>
        <v>416</v>
      </c>
      <c r="D26" t="str">
        <f t="shared" si="4"/>
        <v xml:space="preserve">    parameter p_paddr_87             = 16'h01A0;</v>
      </c>
    </row>
    <row r="27" spans="1:4" x14ac:dyDescent="0.3">
      <c r="A27">
        <v>88</v>
      </c>
      <c r="B27" t="str">
        <f t="shared" si="0"/>
        <v>01A4</v>
      </c>
      <c r="C27">
        <f t="shared" si="3"/>
        <v>420</v>
      </c>
      <c r="D27" t="str">
        <f t="shared" si="4"/>
        <v xml:space="preserve">    parameter p_paddr_88             = 16'h01A4;</v>
      </c>
    </row>
    <row r="28" spans="1:4" x14ac:dyDescent="0.3">
      <c r="A28">
        <v>89</v>
      </c>
      <c r="B28" t="str">
        <f t="shared" si="0"/>
        <v>01A8</v>
      </c>
      <c r="C28">
        <f t="shared" si="3"/>
        <v>424</v>
      </c>
      <c r="D28" t="str">
        <f t="shared" si="4"/>
        <v xml:space="preserve">    parameter p_paddr_89             = 16'h01A8;</v>
      </c>
    </row>
    <row r="29" spans="1:4" x14ac:dyDescent="0.3">
      <c r="A29">
        <v>90</v>
      </c>
      <c r="B29" t="str">
        <f t="shared" si="0"/>
        <v>01AC</v>
      </c>
      <c r="C29">
        <f t="shared" si="3"/>
        <v>428</v>
      </c>
      <c r="D29" t="str">
        <f t="shared" si="4"/>
        <v xml:space="preserve">    parameter p_paddr_90             = 16'h01AC;</v>
      </c>
    </row>
    <row r="30" spans="1:4" x14ac:dyDescent="0.3">
      <c r="A30">
        <v>91</v>
      </c>
      <c r="B30" t="str">
        <f>DEC2HEX(C30,4)</f>
        <v>01B0</v>
      </c>
      <c r="C30">
        <f>$B$1+A30*4</f>
        <v>432</v>
      </c>
      <c r="D30" t="str">
        <f>"    parameter p_paddr_"&amp;A30&amp;"             = 16'h"&amp;B30&amp;";"</f>
        <v xml:space="preserve">    parameter p_paddr_91             = 16'h01B0;</v>
      </c>
    </row>
    <row r="31" spans="1:4" x14ac:dyDescent="0.3">
      <c r="A31">
        <v>92</v>
      </c>
      <c r="B31" t="str">
        <f t="shared" si="0"/>
        <v>01B4</v>
      </c>
      <c r="C31">
        <f t="shared" ref="C31:C37" si="5">$B$1+A31*4</f>
        <v>436</v>
      </c>
      <c r="D31" t="str">
        <f t="shared" ref="D31:D37" si="6">"    parameter p_paddr_"&amp;A31&amp;"             = 16'h"&amp;B31&amp;";"</f>
        <v xml:space="preserve">    parameter p_paddr_92             = 16'h01B4;</v>
      </c>
    </row>
    <row r="32" spans="1:4" x14ac:dyDescent="0.3">
      <c r="A32">
        <v>93</v>
      </c>
      <c r="B32" t="str">
        <f t="shared" si="0"/>
        <v>01B8</v>
      </c>
      <c r="C32">
        <f t="shared" si="5"/>
        <v>440</v>
      </c>
      <c r="D32" t="str">
        <f t="shared" si="6"/>
        <v xml:space="preserve">    parameter p_paddr_93             = 16'h01B8;</v>
      </c>
    </row>
    <row r="33" spans="1:4" x14ac:dyDescent="0.3">
      <c r="A33">
        <v>94</v>
      </c>
      <c r="B33" t="str">
        <f t="shared" si="0"/>
        <v>01BC</v>
      </c>
      <c r="C33">
        <f t="shared" si="5"/>
        <v>444</v>
      </c>
      <c r="D33" t="str">
        <f t="shared" si="6"/>
        <v xml:space="preserve">    parameter p_paddr_94             = 16'h01BC;</v>
      </c>
    </row>
    <row r="34" spans="1:4" x14ac:dyDescent="0.3">
      <c r="A34">
        <v>95</v>
      </c>
      <c r="B34" t="str">
        <f t="shared" si="0"/>
        <v>01C0</v>
      </c>
      <c r="C34">
        <f t="shared" si="5"/>
        <v>448</v>
      </c>
      <c r="D34" t="str">
        <f t="shared" si="6"/>
        <v xml:space="preserve">    parameter p_paddr_95             = 16'h01C0;</v>
      </c>
    </row>
    <row r="35" spans="1:4" x14ac:dyDescent="0.3">
      <c r="A35">
        <v>96</v>
      </c>
      <c r="B35" t="str">
        <f t="shared" si="0"/>
        <v>01C4</v>
      </c>
      <c r="C35">
        <f t="shared" si="5"/>
        <v>452</v>
      </c>
      <c r="D35" t="str">
        <f t="shared" si="6"/>
        <v xml:space="preserve">    parameter p_paddr_96             = 16'h01C4;</v>
      </c>
    </row>
    <row r="36" spans="1:4" x14ac:dyDescent="0.3">
      <c r="A36">
        <v>97</v>
      </c>
      <c r="B36" t="str">
        <f t="shared" si="0"/>
        <v>01C8</v>
      </c>
      <c r="C36">
        <f t="shared" si="5"/>
        <v>456</v>
      </c>
      <c r="D36" t="str">
        <f t="shared" si="6"/>
        <v xml:space="preserve">    parameter p_paddr_97             = 16'h01C8;</v>
      </c>
    </row>
    <row r="37" spans="1:4" x14ac:dyDescent="0.3">
      <c r="A37">
        <v>98</v>
      </c>
      <c r="B37" t="str">
        <f t="shared" si="0"/>
        <v>01CC</v>
      </c>
      <c r="C37">
        <f t="shared" si="5"/>
        <v>460</v>
      </c>
      <c r="D37" t="str">
        <f t="shared" si="6"/>
        <v xml:space="preserve">    parameter p_paddr_98             = 16'h01CC;</v>
      </c>
    </row>
    <row r="38" spans="1:4" x14ac:dyDescent="0.3">
      <c r="A38">
        <v>99</v>
      </c>
      <c r="B38" t="str">
        <f>DEC2HEX(C38,4)</f>
        <v>01D0</v>
      </c>
      <c r="C38">
        <f>$B$1+A38*4</f>
        <v>464</v>
      </c>
      <c r="D38" t="str">
        <f>"    parameter p_paddr_"&amp;A38&amp;"             = 16'h"&amp;B38&amp;";"</f>
        <v xml:space="preserve">    parameter p_paddr_99             = 16'h01D0;</v>
      </c>
    </row>
    <row r="39" spans="1:4" x14ac:dyDescent="0.3">
      <c r="A39">
        <v>100</v>
      </c>
      <c r="B39" t="str">
        <f t="shared" si="0"/>
        <v>01D4</v>
      </c>
      <c r="C39">
        <f t="shared" ref="C39:C42" si="7">$B$1+A39*4</f>
        <v>468</v>
      </c>
      <c r="D39" t="str">
        <f t="shared" ref="D39:D42" si="8">"    parameter p_paddr_"&amp;A39&amp;"             = 16'h"&amp;B39&amp;";"</f>
        <v xml:space="preserve">    parameter p_paddr_100             = 16'h01D4;</v>
      </c>
    </row>
    <row r="40" spans="1:4" x14ac:dyDescent="0.3">
      <c r="A40">
        <v>101</v>
      </c>
      <c r="B40" t="str">
        <f t="shared" si="0"/>
        <v>01D8</v>
      </c>
      <c r="C40">
        <f t="shared" si="7"/>
        <v>472</v>
      </c>
      <c r="D40" t="str">
        <f t="shared" si="8"/>
        <v xml:space="preserve">    parameter p_paddr_101             = 16'h01D8;</v>
      </c>
    </row>
    <row r="41" spans="1:4" x14ac:dyDescent="0.3">
      <c r="A41">
        <v>102</v>
      </c>
      <c r="B41" t="str">
        <f t="shared" si="0"/>
        <v>01DC</v>
      </c>
      <c r="C41">
        <f t="shared" si="7"/>
        <v>476</v>
      </c>
      <c r="D41" t="str">
        <f t="shared" si="8"/>
        <v xml:space="preserve">    parameter p_paddr_102             = 16'h01DC;</v>
      </c>
    </row>
    <row r="42" spans="1:4" x14ac:dyDescent="0.3">
      <c r="A42">
        <v>103</v>
      </c>
      <c r="B42" t="str">
        <f t="shared" si="0"/>
        <v>01E0</v>
      </c>
      <c r="C42">
        <f t="shared" si="7"/>
        <v>480</v>
      </c>
      <c r="D42" t="str">
        <f t="shared" si="8"/>
        <v xml:space="preserve">    parameter p_paddr_103             = 16'h01E0;</v>
      </c>
    </row>
    <row r="43" spans="1:4" x14ac:dyDescent="0.3">
      <c r="A43">
        <v>104</v>
      </c>
      <c r="B43" t="str">
        <f>DEC2HEX(C43,4)</f>
        <v>01E4</v>
      </c>
      <c r="C43">
        <f>$B$1+A43*4</f>
        <v>484</v>
      </c>
      <c r="D43" t="str">
        <f>"    parameter p_paddr_"&amp;A43&amp;"             = 16'h"&amp;B43&amp;";"</f>
        <v xml:space="preserve">    parameter p_paddr_104             = 16'h01E4;</v>
      </c>
    </row>
    <row r="44" spans="1:4" x14ac:dyDescent="0.3">
      <c r="A44">
        <v>105</v>
      </c>
      <c r="B44" t="str">
        <f t="shared" si="0"/>
        <v>01E8</v>
      </c>
      <c r="C44">
        <f t="shared" ref="C44:C45" si="9">$B$1+A44*4</f>
        <v>488</v>
      </c>
      <c r="D44" t="str">
        <f t="shared" ref="D44:D45" si="10">"    parameter p_paddr_"&amp;A44&amp;"             = 16'h"&amp;B44&amp;";"</f>
        <v xml:space="preserve">    parameter p_paddr_105             = 16'h01E8;</v>
      </c>
    </row>
    <row r="45" spans="1:4" x14ac:dyDescent="0.3">
      <c r="A45">
        <v>106</v>
      </c>
      <c r="B45" t="str">
        <f t="shared" si="0"/>
        <v>01EC</v>
      </c>
      <c r="C45">
        <f t="shared" si="9"/>
        <v>492</v>
      </c>
      <c r="D45" t="str">
        <f t="shared" si="10"/>
        <v xml:space="preserve">    parameter p_paddr_106             = 16'h01EC;</v>
      </c>
    </row>
    <row r="46" spans="1:4" x14ac:dyDescent="0.3">
      <c r="A46">
        <v>107</v>
      </c>
      <c r="B46" t="str">
        <f>DEC2HEX(C46,4)</f>
        <v>01F0</v>
      </c>
      <c r="C46">
        <f>$B$1+A46*4</f>
        <v>496</v>
      </c>
      <c r="D46" t="str">
        <f>"    parameter p_paddr_"&amp;A46&amp;"             = 16'h"&amp;B46&amp;";"</f>
        <v xml:space="preserve">    parameter p_paddr_107             = 16'h01F0;</v>
      </c>
    </row>
    <row r="47" spans="1:4" x14ac:dyDescent="0.3">
      <c r="A47">
        <v>108</v>
      </c>
      <c r="B47" t="str">
        <f t="shared" si="0"/>
        <v>01F4</v>
      </c>
      <c r="C47">
        <f t="shared" ref="C47:C49" si="11">$B$1+A47*4</f>
        <v>500</v>
      </c>
      <c r="D47" t="str">
        <f t="shared" ref="D47:D49" si="12">"    parameter p_paddr_"&amp;A47&amp;"             = 16'h"&amp;B47&amp;";"</f>
        <v xml:space="preserve">    parameter p_paddr_108             = 16'h01F4;</v>
      </c>
    </row>
    <row r="48" spans="1:4" x14ac:dyDescent="0.3">
      <c r="A48">
        <v>109</v>
      </c>
      <c r="B48" t="str">
        <f t="shared" si="0"/>
        <v>01F8</v>
      </c>
      <c r="C48">
        <f t="shared" si="11"/>
        <v>504</v>
      </c>
      <c r="D48" t="str">
        <f t="shared" si="12"/>
        <v xml:space="preserve">    parameter p_paddr_109             = 16'h01F8;</v>
      </c>
    </row>
    <row r="49" spans="1:4" x14ac:dyDescent="0.3">
      <c r="A49">
        <v>110</v>
      </c>
      <c r="B49" t="str">
        <f t="shared" si="0"/>
        <v>01FC</v>
      </c>
      <c r="C49">
        <f t="shared" si="11"/>
        <v>508</v>
      </c>
      <c r="D49" t="str">
        <f t="shared" si="12"/>
        <v xml:space="preserve">    parameter p_paddr_110             = 16'h01FC;</v>
      </c>
    </row>
    <row r="50" spans="1:4" x14ac:dyDescent="0.3">
      <c r="A50">
        <v>111</v>
      </c>
      <c r="B50" t="str">
        <f t="shared" si="0"/>
        <v>0200</v>
      </c>
      <c r="C50">
        <f t="shared" ref="C50:C54" si="13">$B$1+A50*4</f>
        <v>512</v>
      </c>
      <c r="D50" t="str">
        <f t="shared" ref="D50:D54" si="14">"    parameter p_paddr_"&amp;A50&amp;"             = 16'h"&amp;B50&amp;";"</f>
        <v xml:space="preserve">    parameter p_paddr_111             = 16'h0200;</v>
      </c>
    </row>
    <row r="51" spans="1:4" x14ac:dyDescent="0.3">
      <c r="A51">
        <v>112</v>
      </c>
      <c r="B51" t="str">
        <f t="shared" si="0"/>
        <v>0204</v>
      </c>
      <c r="C51">
        <f t="shared" si="13"/>
        <v>516</v>
      </c>
      <c r="D51" t="str">
        <f t="shared" si="14"/>
        <v xml:space="preserve">    parameter p_paddr_112             = 16'h0204;</v>
      </c>
    </row>
    <row r="52" spans="1:4" x14ac:dyDescent="0.3">
      <c r="A52">
        <v>113</v>
      </c>
      <c r="B52" t="str">
        <f t="shared" si="0"/>
        <v>0208</v>
      </c>
      <c r="C52">
        <f t="shared" si="13"/>
        <v>520</v>
      </c>
      <c r="D52" t="str">
        <f t="shared" si="14"/>
        <v xml:space="preserve">    parameter p_paddr_113             = 16'h0208;</v>
      </c>
    </row>
    <row r="53" spans="1:4" x14ac:dyDescent="0.3">
      <c r="A53">
        <v>114</v>
      </c>
      <c r="B53" t="str">
        <f t="shared" si="0"/>
        <v>020C</v>
      </c>
      <c r="C53">
        <f t="shared" si="13"/>
        <v>524</v>
      </c>
      <c r="D53" t="str">
        <f t="shared" si="14"/>
        <v xml:space="preserve">    parameter p_paddr_114             = 16'h020C;</v>
      </c>
    </row>
    <row r="54" spans="1:4" x14ac:dyDescent="0.3">
      <c r="A54">
        <v>115</v>
      </c>
      <c r="B54" t="str">
        <f t="shared" si="0"/>
        <v>0210</v>
      </c>
      <c r="C54">
        <f t="shared" si="13"/>
        <v>528</v>
      </c>
      <c r="D54" t="str">
        <f t="shared" si="14"/>
        <v xml:space="preserve">    parameter p_paddr_115             = 16'h0210;</v>
      </c>
    </row>
    <row r="55" spans="1:4" x14ac:dyDescent="0.3">
      <c r="A55">
        <v>116</v>
      </c>
      <c r="B55" t="str">
        <f t="shared" si="0"/>
        <v>0214</v>
      </c>
      <c r="C55">
        <f t="shared" ref="C55:C62" si="15">$B$1+A55*4</f>
        <v>532</v>
      </c>
      <c r="D55" t="str">
        <f t="shared" ref="D55:D62" si="16">"    parameter p_paddr_"&amp;A55&amp;"             = 16'h"&amp;B55&amp;";"</f>
        <v xml:space="preserve">    parameter p_paddr_116             = 16'h0214;</v>
      </c>
    </row>
    <row r="56" spans="1:4" x14ac:dyDescent="0.3">
      <c r="A56">
        <v>117</v>
      </c>
      <c r="B56" t="str">
        <f t="shared" si="0"/>
        <v>0218</v>
      </c>
      <c r="C56">
        <f t="shared" si="15"/>
        <v>536</v>
      </c>
      <c r="D56" t="str">
        <f t="shared" si="16"/>
        <v xml:space="preserve">    parameter p_paddr_117             = 16'h0218;</v>
      </c>
    </row>
    <row r="57" spans="1:4" x14ac:dyDescent="0.3">
      <c r="A57">
        <v>118</v>
      </c>
      <c r="B57" t="str">
        <f t="shared" si="0"/>
        <v>021C</v>
      </c>
      <c r="C57">
        <f t="shared" si="15"/>
        <v>540</v>
      </c>
      <c r="D57" t="str">
        <f t="shared" si="16"/>
        <v xml:space="preserve">    parameter p_paddr_118             = 16'h021C;</v>
      </c>
    </row>
    <row r="58" spans="1:4" x14ac:dyDescent="0.3">
      <c r="A58">
        <v>119</v>
      </c>
      <c r="B58" t="str">
        <f t="shared" si="0"/>
        <v>0220</v>
      </c>
      <c r="C58">
        <f t="shared" si="15"/>
        <v>544</v>
      </c>
      <c r="D58" t="str">
        <f t="shared" si="16"/>
        <v xml:space="preserve">    parameter p_paddr_119             = 16'h0220;</v>
      </c>
    </row>
    <row r="59" spans="1:4" x14ac:dyDescent="0.3">
      <c r="A59">
        <v>120</v>
      </c>
      <c r="B59" t="str">
        <f t="shared" si="0"/>
        <v>0224</v>
      </c>
      <c r="C59">
        <f t="shared" si="15"/>
        <v>548</v>
      </c>
      <c r="D59" t="str">
        <f t="shared" si="16"/>
        <v xml:space="preserve">    parameter p_paddr_120             = 16'h0224;</v>
      </c>
    </row>
    <row r="60" spans="1:4" x14ac:dyDescent="0.3">
      <c r="A60">
        <v>121</v>
      </c>
      <c r="B60" t="str">
        <f t="shared" si="0"/>
        <v>0228</v>
      </c>
      <c r="C60">
        <f t="shared" si="15"/>
        <v>552</v>
      </c>
      <c r="D60" t="str">
        <f t="shared" si="16"/>
        <v xml:space="preserve">    parameter p_paddr_121             = 16'h0228;</v>
      </c>
    </row>
    <row r="61" spans="1:4" x14ac:dyDescent="0.3">
      <c r="A61">
        <v>122</v>
      </c>
      <c r="B61" t="str">
        <f t="shared" si="0"/>
        <v>022C</v>
      </c>
      <c r="C61">
        <f t="shared" si="15"/>
        <v>556</v>
      </c>
      <c r="D61" t="str">
        <f t="shared" si="16"/>
        <v xml:space="preserve">    parameter p_paddr_122             = 16'h022C;</v>
      </c>
    </row>
    <row r="62" spans="1:4" x14ac:dyDescent="0.3">
      <c r="A62">
        <v>123</v>
      </c>
      <c r="B62" t="str">
        <f t="shared" si="0"/>
        <v>0230</v>
      </c>
      <c r="C62">
        <f t="shared" si="15"/>
        <v>560</v>
      </c>
      <c r="D62" t="str">
        <f t="shared" si="16"/>
        <v xml:space="preserve">    parameter p_paddr_123             = 16'h0230;</v>
      </c>
    </row>
    <row r="63" spans="1:4" x14ac:dyDescent="0.3">
      <c r="A63">
        <v>124</v>
      </c>
      <c r="B63" t="str">
        <f t="shared" ref="B63:B75" si="17">DEC2HEX(C63,4)</f>
        <v>0234</v>
      </c>
      <c r="C63">
        <f t="shared" ref="C63:C75" si="18">$B$1+A63*4</f>
        <v>564</v>
      </c>
      <c r="D63" t="str">
        <f t="shared" ref="D63:D75" si="19">"    parameter p_paddr_"&amp;A63&amp;"             = 16'h"&amp;B63&amp;";"</f>
        <v xml:space="preserve">    parameter p_paddr_124             = 16'h0234;</v>
      </c>
    </row>
    <row r="64" spans="1:4" x14ac:dyDescent="0.3">
      <c r="A64">
        <v>125</v>
      </c>
      <c r="B64" t="str">
        <f t="shared" si="17"/>
        <v>0238</v>
      </c>
      <c r="C64">
        <f t="shared" si="18"/>
        <v>568</v>
      </c>
      <c r="D64" t="str">
        <f t="shared" si="19"/>
        <v xml:space="preserve">    parameter p_paddr_125             = 16'h0238;</v>
      </c>
    </row>
    <row r="65" spans="1:4" x14ac:dyDescent="0.3">
      <c r="A65">
        <v>126</v>
      </c>
      <c r="B65" t="str">
        <f t="shared" si="17"/>
        <v>023C</v>
      </c>
      <c r="C65">
        <f t="shared" si="18"/>
        <v>572</v>
      </c>
      <c r="D65" t="str">
        <f t="shared" si="19"/>
        <v xml:space="preserve">    parameter p_paddr_126             = 16'h023C;</v>
      </c>
    </row>
    <row r="66" spans="1:4" x14ac:dyDescent="0.3">
      <c r="A66">
        <v>127</v>
      </c>
      <c r="B66" t="str">
        <f t="shared" si="17"/>
        <v>0240</v>
      </c>
      <c r="C66">
        <f t="shared" si="18"/>
        <v>576</v>
      </c>
      <c r="D66" t="str">
        <f t="shared" si="19"/>
        <v xml:space="preserve">    parameter p_paddr_127             = 16'h0240;</v>
      </c>
    </row>
    <row r="67" spans="1:4" x14ac:dyDescent="0.3">
      <c r="A67">
        <v>128</v>
      </c>
      <c r="B67" t="str">
        <f t="shared" si="17"/>
        <v>0244</v>
      </c>
      <c r="C67">
        <f t="shared" si="18"/>
        <v>580</v>
      </c>
      <c r="D67" t="str">
        <f t="shared" si="19"/>
        <v xml:space="preserve">    parameter p_paddr_128             = 16'h0244;</v>
      </c>
    </row>
    <row r="68" spans="1:4" x14ac:dyDescent="0.3">
      <c r="A68">
        <v>129</v>
      </c>
      <c r="B68" t="str">
        <f t="shared" si="17"/>
        <v>0248</v>
      </c>
      <c r="C68">
        <f t="shared" si="18"/>
        <v>584</v>
      </c>
      <c r="D68" t="str">
        <f t="shared" si="19"/>
        <v xml:space="preserve">    parameter p_paddr_129             = 16'h0248;</v>
      </c>
    </row>
    <row r="69" spans="1:4" x14ac:dyDescent="0.3">
      <c r="A69">
        <v>130</v>
      </c>
      <c r="B69" t="str">
        <f t="shared" si="17"/>
        <v>024C</v>
      </c>
      <c r="C69">
        <f t="shared" si="18"/>
        <v>588</v>
      </c>
      <c r="D69" t="str">
        <f t="shared" si="19"/>
        <v xml:space="preserve">    parameter p_paddr_130             = 16'h024C;</v>
      </c>
    </row>
    <row r="70" spans="1:4" x14ac:dyDescent="0.3">
      <c r="A70">
        <v>131</v>
      </c>
      <c r="B70" t="str">
        <f t="shared" si="17"/>
        <v>0250</v>
      </c>
      <c r="C70">
        <f t="shared" si="18"/>
        <v>592</v>
      </c>
      <c r="D70" t="str">
        <f t="shared" si="19"/>
        <v xml:space="preserve">    parameter p_paddr_131             = 16'h0250;</v>
      </c>
    </row>
    <row r="71" spans="1:4" x14ac:dyDescent="0.3">
      <c r="A71">
        <v>132</v>
      </c>
      <c r="B71" t="str">
        <f t="shared" si="17"/>
        <v>0254</v>
      </c>
      <c r="C71">
        <f t="shared" si="18"/>
        <v>596</v>
      </c>
      <c r="D71" t="str">
        <f t="shared" si="19"/>
        <v xml:space="preserve">    parameter p_paddr_132             = 16'h0254;</v>
      </c>
    </row>
    <row r="72" spans="1:4" x14ac:dyDescent="0.3">
      <c r="A72">
        <v>133</v>
      </c>
      <c r="B72" t="str">
        <f t="shared" si="17"/>
        <v>0258</v>
      </c>
      <c r="C72">
        <f t="shared" si="18"/>
        <v>600</v>
      </c>
      <c r="D72" t="str">
        <f t="shared" si="19"/>
        <v xml:space="preserve">    parameter p_paddr_133             = 16'h0258;</v>
      </c>
    </row>
    <row r="73" spans="1:4" x14ac:dyDescent="0.3">
      <c r="A73">
        <v>134</v>
      </c>
      <c r="B73" t="str">
        <f t="shared" si="17"/>
        <v>025C</v>
      </c>
      <c r="C73">
        <f t="shared" si="18"/>
        <v>604</v>
      </c>
      <c r="D73" t="str">
        <f t="shared" si="19"/>
        <v xml:space="preserve">    parameter p_paddr_134             = 16'h025C;</v>
      </c>
    </row>
    <row r="74" spans="1:4" x14ac:dyDescent="0.3">
      <c r="A74">
        <v>135</v>
      </c>
      <c r="B74" t="str">
        <f t="shared" si="17"/>
        <v>0260</v>
      </c>
      <c r="C74">
        <f t="shared" si="18"/>
        <v>608</v>
      </c>
      <c r="D74" t="str">
        <f t="shared" si="19"/>
        <v xml:space="preserve">    parameter p_paddr_135             = 16'h0260;</v>
      </c>
    </row>
    <row r="75" spans="1:4" x14ac:dyDescent="0.3">
      <c r="A75">
        <v>136</v>
      </c>
      <c r="B75" t="str">
        <f t="shared" si="17"/>
        <v>0264</v>
      </c>
      <c r="C75">
        <f t="shared" si="18"/>
        <v>612</v>
      </c>
      <c r="D75" t="str">
        <f t="shared" si="19"/>
        <v xml:space="preserve">    parameter p_paddr_136             = 16'h0264;</v>
      </c>
    </row>
    <row r="76" spans="1:4" x14ac:dyDescent="0.3">
      <c r="A76">
        <v>137</v>
      </c>
      <c r="B76" t="str">
        <f t="shared" ref="B76:B112" si="20">DEC2HEX(C76,4)</f>
        <v>0268</v>
      </c>
      <c r="C76">
        <f t="shared" ref="C76:C112" si="21">$B$1+A76*4</f>
        <v>616</v>
      </c>
      <c r="D76" t="str">
        <f t="shared" ref="D76:D112" si="22">"    parameter p_paddr_"&amp;A76&amp;"             = 16'h"&amp;B76&amp;";"</f>
        <v xml:space="preserve">    parameter p_paddr_137             = 16'h0268;</v>
      </c>
    </row>
    <row r="77" spans="1:4" x14ac:dyDescent="0.3">
      <c r="A77">
        <v>138</v>
      </c>
      <c r="B77" t="str">
        <f t="shared" si="20"/>
        <v>026C</v>
      </c>
      <c r="C77">
        <f t="shared" si="21"/>
        <v>620</v>
      </c>
      <c r="D77" t="str">
        <f t="shared" si="22"/>
        <v xml:space="preserve">    parameter p_paddr_138             = 16'h026C;</v>
      </c>
    </row>
    <row r="78" spans="1:4" x14ac:dyDescent="0.3">
      <c r="A78">
        <v>139</v>
      </c>
      <c r="B78" t="str">
        <f t="shared" si="20"/>
        <v>0270</v>
      </c>
      <c r="C78">
        <f t="shared" si="21"/>
        <v>624</v>
      </c>
      <c r="D78" t="str">
        <f t="shared" si="22"/>
        <v xml:space="preserve">    parameter p_paddr_139             = 16'h0270;</v>
      </c>
    </row>
    <row r="79" spans="1:4" x14ac:dyDescent="0.3">
      <c r="A79">
        <v>140</v>
      </c>
      <c r="B79" t="str">
        <f t="shared" si="20"/>
        <v>0274</v>
      </c>
      <c r="C79">
        <f t="shared" si="21"/>
        <v>628</v>
      </c>
      <c r="D79" t="str">
        <f t="shared" si="22"/>
        <v xml:space="preserve">    parameter p_paddr_140             = 16'h0274;</v>
      </c>
    </row>
    <row r="80" spans="1:4" x14ac:dyDescent="0.3">
      <c r="A80">
        <v>141</v>
      </c>
      <c r="B80" t="str">
        <f t="shared" si="20"/>
        <v>0278</v>
      </c>
      <c r="C80">
        <f t="shared" si="21"/>
        <v>632</v>
      </c>
      <c r="D80" t="str">
        <f t="shared" si="22"/>
        <v xml:space="preserve">    parameter p_paddr_141             = 16'h0278;</v>
      </c>
    </row>
    <row r="81" spans="1:4" x14ac:dyDescent="0.3">
      <c r="A81">
        <v>142</v>
      </c>
      <c r="B81" t="str">
        <f t="shared" si="20"/>
        <v>027C</v>
      </c>
      <c r="C81">
        <f t="shared" si="21"/>
        <v>636</v>
      </c>
      <c r="D81" t="str">
        <f t="shared" si="22"/>
        <v xml:space="preserve">    parameter p_paddr_142             = 16'h027C;</v>
      </c>
    </row>
    <row r="82" spans="1:4" x14ac:dyDescent="0.3">
      <c r="A82">
        <v>143</v>
      </c>
      <c r="B82" t="str">
        <f t="shared" si="20"/>
        <v>0280</v>
      </c>
      <c r="C82">
        <f t="shared" si="21"/>
        <v>640</v>
      </c>
      <c r="D82" t="str">
        <f t="shared" si="22"/>
        <v xml:space="preserve">    parameter p_paddr_143             = 16'h0280;</v>
      </c>
    </row>
    <row r="83" spans="1:4" x14ac:dyDescent="0.3">
      <c r="A83">
        <v>144</v>
      </c>
      <c r="B83" t="str">
        <f t="shared" si="20"/>
        <v>0284</v>
      </c>
      <c r="C83">
        <f t="shared" si="21"/>
        <v>644</v>
      </c>
      <c r="D83" t="str">
        <f t="shared" si="22"/>
        <v xml:space="preserve">    parameter p_paddr_144             = 16'h0284;</v>
      </c>
    </row>
    <row r="84" spans="1:4" x14ac:dyDescent="0.3">
      <c r="A84">
        <v>145</v>
      </c>
      <c r="B84" t="str">
        <f t="shared" si="20"/>
        <v>0288</v>
      </c>
      <c r="C84">
        <f t="shared" si="21"/>
        <v>648</v>
      </c>
      <c r="D84" t="str">
        <f t="shared" si="22"/>
        <v xml:space="preserve">    parameter p_paddr_145             = 16'h0288;</v>
      </c>
    </row>
    <row r="85" spans="1:4" x14ac:dyDescent="0.3">
      <c r="A85">
        <v>146</v>
      </c>
      <c r="B85" t="str">
        <f t="shared" si="20"/>
        <v>028C</v>
      </c>
      <c r="C85">
        <f t="shared" si="21"/>
        <v>652</v>
      </c>
      <c r="D85" t="str">
        <f t="shared" si="22"/>
        <v xml:space="preserve">    parameter p_paddr_146             = 16'h028C;</v>
      </c>
    </row>
    <row r="86" spans="1:4" x14ac:dyDescent="0.3">
      <c r="A86">
        <v>147</v>
      </c>
      <c r="B86" t="str">
        <f t="shared" si="20"/>
        <v>0290</v>
      </c>
      <c r="C86">
        <f t="shared" si="21"/>
        <v>656</v>
      </c>
      <c r="D86" t="str">
        <f t="shared" si="22"/>
        <v xml:space="preserve">    parameter p_paddr_147             = 16'h0290;</v>
      </c>
    </row>
    <row r="87" spans="1:4" x14ac:dyDescent="0.3">
      <c r="A87">
        <v>148</v>
      </c>
      <c r="B87" t="str">
        <f t="shared" si="20"/>
        <v>0294</v>
      </c>
      <c r="C87">
        <f t="shared" si="21"/>
        <v>660</v>
      </c>
      <c r="D87" t="str">
        <f t="shared" si="22"/>
        <v xml:space="preserve">    parameter p_paddr_148             = 16'h0294;</v>
      </c>
    </row>
    <row r="88" spans="1:4" x14ac:dyDescent="0.3">
      <c r="A88">
        <v>149</v>
      </c>
      <c r="B88" t="str">
        <f t="shared" si="20"/>
        <v>0298</v>
      </c>
      <c r="C88">
        <f t="shared" si="21"/>
        <v>664</v>
      </c>
      <c r="D88" t="str">
        <f t="shared" si="22"/>
        <v xml:space="preserve">    parameter p_paddr_149             = 16'h0298;</v>
      </c>
    </row>
    <row r="89" spans="1:4" x14ac:dyDescent="0.3">
      <c r="A89">
        <v>150</v>
      </c>
      <c r="B89" t="str">
        <f t="shared" si="20"/>
        <v>029C</v>
      </c>
      <c r="C89">
        <f t="shared" si="21"/>
        <v>668</v>
      </c>
      <c r="D89" t="str">
        <f t="shared" si="22"/>
        <v xml:space="preserve">    parameter p_paddr_150             = 16'h029C;</v>
      </c>
    </row>
    <row r="90" spans="1:4" x14ac:dyDescent="0.3">
      <c r="A90">
        <v>151</v>
      </c>
      <c r="B90" t="str">
        <f t="shared" si="20"/>
        <v>02A0</v>
      </c>
      <c r="C90">
        <f t="shared" si="21"/>
        <v>672</v>
      </c>
      <c r="D90" t="str">
        <f t="shared" si="22"/>
        <v xml:space="preserve">    parameter p_paddr_151             = 16'h02A0;</v>
      </c>
    </row>
    <row r="91" spans="1:4" x14ac:dyDescent="0.3">
      <c r="A91">
        <v>152</v>
      </c>
      <c r="B91" t="str">
        <f t="shared" si="20"/>
        <v>02A4</v>
      </c>
      <c r="C91">
        <f t="shared" si="21"/>
        <v>676</v>
      </c>
      <c r="D91" t="str">
        <f t="shared" si="22"/>
        <v xml:space="preserve">    parameter p_paddr_152             = 16'h02A4;</v>
      </c>
    </row>
    <row r="92" spans="1:4" x14ac:dyDescent="0.3">
      <c r="A92">
        <v>153</v>
      </c>
      <c r="B92" t="str">
        <f t="shared" si="20"/>
        <v>02A8</v>
      </c>
      <c r="C92">
        <f t="shared" si="21"/>
        <v>680</v>
      </c>
      <c r="D92" t="str">
        <f t="shared" si="22"/>
        <v xml:space="preserve">    parameter p_paddr_153             = 16'h02A8;</v>
      </c>
    </row>
    <row r="93" spans="1:4" x14ac:dyDescent="0.3">
      <c r="A93">
        <v>154</v>
      </c>
      <c r="B93" t="str">
        <f t="shared" si="20"/>
        <v>02AC</v>
      </c>
      <c r="C93">
        <f t="shared" si="21"/>
        <v>684</v>
      </c>
      <c r="D93" t="str">
        <f t="shared" si="22"/>
        <v xml:space="preserve">    parameter p_paddr_154             = 16'h02AC;</v>
      </c>
    </row>
    <row r="94" spans="1:4" x14ac:dyDescent="0.3">
      <c r="A94">
        <v>155</v>
      </c>
      <c r="B94" t="str">
        <f t="shared" si="20"/>
        <v>02B0</v>
      </c>
      <c r="C94">
        <f t="shared" si="21"/>
        <v>688</v>
      </c>
      <c r="D94" t="str">
        <f t="shared" si="22"/>
        <v xml:space="preserve">    parameter p_paddr_155             = 16'h02B0;</v>
      </c>
    </row>
    <row r="95" spans="1:4" x14ac:dyDescent="0.3">
      <c r="A95">
        <v>156</v>
      </c>
      <c r="B95" t="str">
        <f t="shared" si="20"/>
        <v>02B4</v>
      </c>
      <c r="C95">
        <f t="shared" si="21"/>
        <v>692</v>
      </c>
      <c r="D95" t="str">
        <f t="shared" si="22"/>
        <v xml:space="preserve">    parameter p_paddr_156             = 16'h02B4;</v>
      </c>
    </row>
    <row r="96" spans="1:4" x14ac:dyDescent="0.3">
      <c r="A96">
        <v>157</v>
      </c>
      <c r="B96" t="str">
        <f t="shared" si="20"/>
        <v>02B8</v>
      </c>
      <c r="C96">
        <f t="shared" si="21"/>
        <v>696</v>
      </c>
      <c r="D96" t="str">
        <f t="shared" si="22"/>
        <v xml:space="preserve">    parameter p_paddr_157             = 16'h02B8;</v>
      </c>
    </row>
    <row r="97" spans="1:4" x14ac:dyDescent="0.3">
      <c r="A97">
        <v>158</v>
      </c>
      <c r="B97" t="str">
        <f t="shared" si="20"/>
        <v>02BC</v>
      </c>
      <c r="C97">
        <f t="shared" si="21"/>
        <v>700</v>
      </c>
      <c r="D97" t="str">
        <f t="shared" si="22"/>
        <v xml:space="preserve">    parameter p_paddr_158             = 16'h02BC;</v>
      </c>
    </row>
    <row r="98" spans="1:4" x14ac:dyDescent="0.3">
      <c r="A98">
        <v>159</v>
      </c>
      <c r="B98" t="str">
        <f t="shared" si="20"/>
        <v>02C0</v>
      </c>
      <c r="C98">
        <f t="shared" si="21"/>
        <v>704</v>
      </c>
      <c r="D98" t="str">
        <f t="shared" si="22"/>
        <v xml:space="preserve">    parameter p_paddr_159             = 16'h02C0;</v>
      </c>
    </row>
    <row r="99" spans="1:4" x14ac:dyDescent="0.3">
      <c r="A99">
        <v>160</v>
      </c>
      <c r="B99" t="str">
        <f t="shared" si="20"/>
        <v>02C4</v>
      </c>
      <c r="C99">
        <f t="shared" si="21"/>
        <v>708</v>
      </c>
      <c r="D99" t="str">
        <f t="shared" si="22"/>
        <v xml:space="preserve">    parameter p_paddr_160             = 16'h02C4;</v>
      </c>
    </row>
    <row r="100" spans="1:4" x14ac:dyDescent="0.3">
      <c r="A100">
        <v>161</v>
      </c>
      <c r="B100" t="str">
        <f t="shared" si="20"/>
        <v>02C8</v>
      </c>
      <c r="C100">
        <f t="shared" si="21"/>
        <v>712</v>
      </c>
      <c r="D100" t="str">
        <f t="shared" si="22"/>
        <v xml:space="preserve">    parameter p_paddr_161             = 16'h02C8;</v>
      </c>
    </row>
    <row r="101" spans="1:4" x14ac:dyDescent="0.3">
      <c r="A101">
        <v>162</v>
      </c>
      <c r="B101" t="str">
        <f t="shared" si="20"/>
        <v>02CC</v>
      </c>
      <c r="C101">
        <f t="shared" si="21"/>
        <v>716</v>
      </c>
      <c r="D101" t="str">
        <f t="shared" si="22"/>
        <v xml:space="preserve">    parameter p_paddr_162             = 16'h02CC;</v>
      </c>
    </row>
    <row r="102" spans="1:4" x14ac:dyDescent="0.3">
      <c r="A102">
        <v>163</v>
      </c>
      <c r="B102" t="str">
        <f t="shared" si="20"/>
        <v>02D0</v>
      </c>
      <c r="C102">
        <f t="shared" si="21"/>
        <v>720</v>
      </c>
      <c r="D102" t="str">
        <f t="shared" si="22"/>
        <v xml:space="preserve">    parameter p_paddr_163             = 16'h02D0;</v>
      </c>
    </row>
    <row r="103" spans="1:4" x14ac:dyDescent="0.3">
      <c r="A103">
        <v>164</v>
      </c>
      <c r="B103" t="str">
        <f t="shared" si="20"/>
        <v>02D4</v>
      </c>
      <c r="C103">
        <f t="shared" si="21"/>
        <v>724</v>
      </c>
      <c r="D103" t="str">
        <f t="shared" si="22"/>
        <v xml:space="preserve">    parameter p_paddr_164             = 16'h02D4;</v>
      </c>
    </row>
    <row r="104" spans="1:4" x14ac:dyDescent="0.3">
      <c r="A104">
        <v>165</v>
      </c>
      <c r="B104" t="str">
        <f t="shared" si="20"/>
        <v>02D8</v>
      </c>
      <c r="C104">
        <f t="shared" si="21"/>
        <v>728</v>
      </c>
      <c r="D104" t="str">
        <f t="shared" si="22"/>
        <v xml:space="preserve">    parameter p_paddr_165             = 16'h02D8;</v>
      </c>
    </row>
    <row r="105" spans="1:4" x14ac:dyDescent="0.3">
      <c r="A105">
        <v>166</v>
      </c>
      <c r="B105" t="str">
        <f t="shared" si="20"/>
        <v>02DC</v>
      </c>
      <c r="C105">
        <f t="shared" si="21"/>
        <v>732</v>
      </c>
      <c r="D105" t="str">
        <f t="shared" si="22"/>
        <v xml:space="preserve">    parameter p_paddr_166             = 16'h02DC;</v>
      </c>
    </row>
    <row r="106" spans="1:4" x14ac:dyDescent="0.3">
      <c r="A106">
        <v>167</v>
      </c>
      <c r="B106" t="str">
        <f t="shared" si="20"/>
        <v>02E0</v>
      </c>
      <c r="C106">
        <f t="shared" si="21"/>
        <v>736</v>
      </c>
      <c r="D106" t="str">
        <f t="shared" si="22"/>
        <v xml:space="preserve">    parameter p_paddr_167             = 16'h02E0;</v>
      </c>
    </row>
    <row r="107" spans="1:4" x14ac:dyDescent="0.3">
      <c r="A107">
        <v>168</v>
      </c>
      <c r="B107" t="str">
        <f t="shared" si="20"/>
        <v>02E4</v>
      </c>
      <c r="C107">
        <f t="shared" si="21"/>
        <v>740</v>
      </c>
      <c r="D107" t="str">
        <f t="shared" si="22"/>
        <v xml:space="preserve">    parameter p_paddr_168             = 16'h02E4;</v>
      </c>
    </row>
    <row r="108" spans="1:4" x14ac:dyDescent="0.3">
      <c r="A108">
        <v>169</v>
      </c>
      <c r="B108" t="str">
        <f t="shared" si="20"/>
        <v>02E8</v>
      </c>
      <c r="C108">
        <f t="shared" si="21"/>
        <v>744</v>
      </c>
      <c r="D108" t="str">
        <f t="shared" si="22"/>
        <v xml:space="preserve">    parameter p_paddr_169             = 16'h02E8;</v>
      </c>
    </row>
    <row r="109" spans="1:4" x14ac:dyDescent="0.3">
      <c r="A109">
        <v>170</v>
      </c>
      <c r="B109" t="str">
        <f t="shared" si="20"/>
        <v>02EC</v>
      </c>
      <c r="C109">
        <f t="shared" si="21"/>
        <v>748</v>
      </c>
      <c r="D109" t="str">
        <f t="shared" si="22"/>
        <v xml:space="preserve">    parameter p_paddr_170             = 16'h02EC;</v>
      </c>
    </row>
    <row r="110" spans="1:4" x14ac:dyDescent="0.3">
      <c r="A110">
        <v>171</v>
      </c>
      <c r="B110" t="str">
        <f t="shared" si="20"/>
        <v>02F0</v>
      </c>
      <c r="C110">
        <f t="shared" si="21"/>
        <v>752</v>
      </c>
      <c r="D110" t="str">
        <f t="shared" si="22"/>
        <v xml:space="preserve">    parameter p_paddr_171             = 16'h02F0;</v>
      </c>
    </row>
    <row r="111" spans="1:4" x14ac:dyDescent="0.3">
      <c r="A111">
        <v>172</v>
      </c>
      <c r="B111" t="str">
        <f t="shared" si="20"/>
        <v>02F4</v>
      </c>
      <c r="C111">
        <f t="shared" si="21"/>
        <v>756</v>
      </c>
      <c r="D111" t="str">
        <f t="shared" si="22"/>
        <v xml:space="preserve">    parameter p_paddr_172             = 16'h02F4;</v>
      </c>
    </row>
    <row r="112" spans="1:4" x14ac:dyDescent="0.3">
      <c r="A112">
        <v>173</v>
      </c>
      <c r="B112" t="str">
        <f t="shared" si="20"/>
        <v>02F8</v>
      </c>
      <c r="C112">
        <f t="shared" si="21"/>
        <v>760</v>
      </c>
      <c r="D112" t="str">
        <f t="shared" si="22"/>
        <v xml:space="preserve">    parameter p_paddr_173             = 16'h02F8;</v>
      </c>
    </row>
    <row r="113" spans="1:4" x14ac:dyDescent="0.3">
      <c r="A113">
        <v>174</v>
      </c>
      <c r="B113" t="str">
        <f t="shared" ref="B113:B176" si="23">DEC2HEX(C113,4)</f>
        <v>02FC</v>
      </c>
      <c r="C113">
        <f t="shared" ref="C113:C176" si="24">$B$1+A113*4</f>
        <v>764</v>
      </c>
      <c r="D113" t="str">
        <f t="shared" ref="D113:D176" si="25">"    parameter p_paddr_"&amp;A113&amp;"             = 16'h"&amp;B113&amp;";"</f>
        <v xml:space="preserve">    parameter p_paddr_174             = 16'h02FC;</v>
      </c>
    </row>
    <row r="114" spans="1:4" x14ac:dyDescent="0.3">
      <c r="A114">
        <v>175</v>
      </c>
      <c r="B114" t="str">
        <f t="shared" si="23"/>
        <v>0300</v>
      </c>
      <c r="C114">
        <f t="shared" si="24"/>
        <v>768</v>
      </c>
      <c r="D114" t="str">
        <f t="shared" si="25"/>
        <v xml:space="preserve">    parameter p_paddr_175             = 16'h0300;</v>
      </c>
    </row>
    <row r="115" spans="1:4" x14ac:dyDescent="0.3">
      <c r="A115">
        <v>176</v>
      </c>
      <c r="B115" t="str">
        <f t="shared" si="23"/>
        <v>0304</v>
      </c>
      <c r="C115">
        <f t="shared" si="24"/>
        <v>772</v>
      </c>
      <c r="D115" t="str">
        <f t="shared" si="25"/>
        <v xml:space="preserve">    parameter p_paddr_176             = 16'h0304;</v>
      </c>
    </row>
    <row r="116" spans="1:4" x14ac:dyDescent="0.3">
      <c r="A116">
        <v>177</v>
      </c>
      <c r="B116" t="str">
        <f t="shared" si="23"/>
        <v>0308</v>
      </c>
      <c r="C116">
        <f t="shared" si="24"/>
        <v>776</v>
      </c>
      <c r="D116" t="str">
        <f t="shared" si="25"/>
        <v xml:space="preserve">    parameter p_paddr_177             = 16'h0308;</v>
      </c>
    </row>
    <row r="117" spans="1:4" x14ac:dyDescent="0.3">
      <c r="A117">
        <v>178</v>
      </c>
      <c r="B117" t="str">
        <f t="shared" si="23"/>
        <v>030C</v>
      </c>
      <c r="C117">
        <f t="shared" si="24"/>
        <v>780</v>
      </c>
      <c r="D117" t="str">
        <f t="shared" si="25"/>
        <v xml:space="preserve">    parameter p_paddr_178             = 16'h030C;</v>
      </c>
    </row>
    <row r="118" spans="1:4" x14ac:dyDescent="0.3">
      <c r="A118">
        <v>179</v>
      </c>
      <c r="B118" t="str">
        <f t="shared" si="23"/>
        <v>0310</v>
      </c>
      <c r="C118">
        <f t="shared" si="24"/>
        <v>784</v>
      </c>
      <c r="D118" t="str">
        <f t="shared" si="25"/>
        <v xml:space="preserve">    parameter p_paddr_179             = 16'h0310;</v>
      </c>
    </row>
    <row r="119" spans="1:4" x14ac:dyDescent="0.3">
      <c r="A119">
        <v>180</v>
      </c>
      <c r="B119" t="str">
        <f t="shared" si="23"/>
        <v>0314</v>
      </c>
      <c r="C119">
        <f t="shared" si="24"/>
        <v>788</v>
      </c>
      <c r="D119" t="str">
        <f t="shared" si="25"/>
        <v xml:space="preserve">    parameter p_paddr_180             = 16'h0314;</v>
      </c>
    </row>
    <row r="120" spans="1:4" x14ac:dyDescent="0.3">
      <c r="A120">
        <v>181</v>
      </c>
      <c r="B120" t="str">
        <f t="shared" si="23"/>
        <v>0318</v>
      </c>
      <c r="C120">
        <f t="shared" si="24"/>
        <v>792</v>
      </c>
      <c r="D120" t="str">
        <f t="shared" si="25"/>
        <v xml:space="preserve">    parameter p_paddr_181             = 16'h0318;</v>
      </c>
    </row>
    <row r="121" spans="1:4" x14ac:dyDescent="0.3">
      <c r="A121">
        <v>182</v>
      </c>
      <c r="B121" t="str">
        <f t="shared" si="23"/>
        <v>031C</v>
      </c>
      <c r="C121">
        <f t="shared" si="24"/>
        <v>796</v>
      </c>
      <c r="D121" t="str">
        <f t="shared" si="25"/>
        <v xml:space="preserve">    parameter p_paddr_182             = 16'h031C;</v>
      </c>
    </row>
    <row r="122" spans="1:4" x14ac:dyDescent="0.3">
      <c r="A122">
        <v>183</v>
      </c>
      <c r="B122" t="str">
        <f t="shared" si="23"/>
        <v>0320</v>
      </c>
      <c r="C122">
        <f t="shared" si="24"/>
        <v>800</v>
      </c>
      <c r="D122" t="str">
        <f t="shared" si="25"/>
        <v xml:space="preserve">    parameter p_paddr_183             = 16'h0320;</v>
      </c>
    </row>
    <row r="123" spans="1:4" x14ac:dyDescent="0.3">
      <c r="A123">
        <v>184</v>
      </c>
      <c r="B123" t="str">
        <f t="shared" si="23"/>
        <v>0324</v>
      </c>
      <c r="C123">
        <f t="shared" si="24"/>
        <v>804</v>
      </c>
      <c r="D123" t="str">
        <f t="shared" si="25"/>
        <v xml:space="preserve">    parameter p_paddr_184             = 16'h0324;</v>
      </c>
    </row>
    <row r="124" spans="1:4" x14ac:dyDescent="0.3">
      <c r="A124">
        <v>185</v>
      </c>
      <c r="B124" t="str">
        <f t="shared" si="23"/>
        <v>0328</v>
      </c>
      <c r="C124">
        <f t="shared" si="24"/>
        <v>808</v>
      </c>
      <c r="D124" t="str">
        <f t="shared" si="25"/>
        <v xml:space="preserve">    parameter p_paddr_185             = 16'h0328;</v>
      </c>
    </row>
    <row r="125" spans="1:4" x14ac:dyDescent="0.3">
      <c r="A125">
        <v>186</v>
      </c>
      <c r="B125" t="str">
        <f t="shared" si="23"/>
        <v>032C</v>
      </c>
      <c r="C125">
        <f t="shared" si="24"/>
        <v>812</v>
      </c>
      <c r="D125" t="str">
        <f t="shared" si="25"/>
        <v xml:space="preserve">    parameter p_paddr_186             = 16'h032C;</v>
      </c>
    </row>
    <row r="126" spans="1:4" x14ac:dyDescent="0.3">
      <c r="A126">
        <v>187</v>
      </c>
      <c r="B126" t="str">
        <f t="shared" si="23"/>
        <v>0330</v>
      </c>
      <c r="C126">
        <f t="shared" si="24"/>
        <v>816</v>
      </c>
      <c r="D126" t="str">
        <f t="shared" si="25"/>
        <v xml:space="preserve">    parameter p_paddr_187             = 16'h0330;</v>
      </c>
    </row>
    <row r="127" spans="1:4" x14ac:dyDescent="0.3">
      <c r="A127">
        <v>188</v>
      </c>
      <c r="B127" t="str">
        <f t="shared" si="23"/>
        <v>0334</v>
      </c>
      <c r="C127">
        <f t="shared" si="24"/>
        <v>820</v>
      </c>
      <c r="D127" t="str">
        <f t="shared" si="25"/>
        <v xml:space="preserve">    parameter p_paddr_188             = 16'h0334;</v>
      </c>
    </row>
    <row r="128" spans="1:4" x14ac:dyDescent="0.3">
      <c r="A128">
        <v>189</v>
      </c>
      <c r="B128" t="str">
        <f t="shared" si="23"/>
        <v>0338</v>
      </c>
      <c r="C128">
        <f t="shared" si="24"/>
        <v>824</v>
      </c>
      <c r="D128" t="str">
        <f t="shared" si="25"/>
        <v xml:space="preserve">    parameter p_paddr_189             = 16'h0338;</v>
      </c>
    </row>
    <row r="129" spans="1:4" x14ac:dyDescent="0.3">
      <c r="A129">
        <v>190</v>
      </c>
      <c r="B129" t="str">
        <f t="shared" si="23"/>
        <v>033C</v>
      </c>
      <c r="C129">
        <f t="shared" si="24"/>
        <v>828</v>
      </c>
      <c r="D129" t="str">
        <f t="shared" si="25"/>
        <v xml:space="preserve">    parameter p_paddr_190             = 16'h033C;</v>
      </c>
    </row>
    <row r="130" spans="1:4" x14ac:dyDescent="0.3">
      <c r="A130">
        <v>191</v>
      </c>
      <c r="B130" t="str">
        <f t="shared" si="23"/>
        <v>0340</v>
      </c>
      <c r="C130">
        <f t="shared" si="24"/>
        <v>832</v>
      </c>
      <c r="D130" t="str">
        <f t="shared" si="25"/>
        <v xml:space="preserve">    parameter p_paddr_191             = 16'h0340;</v>
      </c>
    </row>
    <row r="131" spans="1:4" x14ac:dyDescent="0.3">
      <c r="A131">
        <v>192</v>
      </c>
      <c r="B131" t="str">
        <f t="shared" si="23"/>
        <v>0344</v>
      </c>
      <c r="C131">
        <f t="shared" si="24"/>
        <v>836</v>
      </c>
      <c r="D131" t="str">
        <f t="shared" si="25"/>
        <v xml:space="preserve">    parameter p_paddr_192             = 16'h0344;</v>
      </c>
    </row>
    <row r="132" spans="1:4" x14ac:dyDescent="0.3">
      <c r="A132">
        <v>193</v>
      </c>
      <c r="B132" t="str">
        <f t="shared" si="23"/>
        <v>0348</v>
      </c>
      <c r="C132">
        <f t="shared" si="24"/>
        <v>840</v>
      </c>
      <c r="D132" t="str">
        <f t="shared" si="25"/>
        <v xml:space="preserve">    parameter p_paddr_193             = 16'h0348;</v>
      </c>
    </row>
    <row r="133" spans="1:4" x14ac:dyDescent="0.3">
      <c r="A133">
        <v>194</v>
      </c>
      <c r="B133" t="str">
        <f t="shared" si="23"/>
        <v>034C</v>
      </c>
      <c r="C133">
        <f t="shared" si="24"/>
        <v>844</v>
      </c>
      <c r="D133" t="str">
        <f t="shared" si="25"/>
        <v xml:space="preserve">    parameter p_paddr_194             = 16'h034C;</v>
      </c>
    </row>
    <row r="134" spans="1:4" x14ac:dyDescent="0.3">
      <c r="A134">
        <v>195</v>
      </c>
      <c r="B134" t="str">
        <f t="shared" si="23"/>
        <v>0350</v>
      </c>
      <c r="C134">
        <f t="shared" si="24"/>
        <v>848</v>
      </c>
      <c r="D134" t="str">
        <f t="shared" si="25"/>
        <v xml:space="preserve">    parameter p_paddr_195             = 16'h0350;</v>
      </c>
    </row>
    <row r="135" spans="1:4" x14ac:dyDescent="0.3">
      <c r="A135">
        <v>196</v>
      </c>
      <c r="B135" t="str">
        <f t="shared" si="23"/>
        <v>0354</v>
      </c>
      <c r="C135">
        <f t="shared" si="24"/>
        <v>852</v>
      </c>
      <c r="D135" t="str">
        <f t="shared" si="25"/>
        <v xml:space="preserve">    parameter p_paddr_196             = 16'h0354;</v>
      </c>
    </row>
    <row r="136" spans="1:4" x14ac:dyDescent="0.3">
      <c r="A136">
        <v>197</v>
      </c>
      <c r="B136" t="str">
        <f t="shared" si="23"/>
        <v>0358</v>
      </c>
      <c r="C136">
        <f t="shared" si="24"/>
        <v>856</v>
      </c>
      <c r="D136" t="str">
        <f t="shared" si="25"/>
        <v xml:space="preserve">    parameter p_paddr_197             = 16'h0358;</v>
      </c>
    </row>
    <row r="137" spans="1:4" x14ac:dyDescent="0.3">
      <c r="A137">
        <v>198</v>
      </c>
      <c r="B137" t="str">
        <f t="shared" si="23"/>
        <v>035C</v>
      </c>
      <c r="C137">
        <f t="shared" si="24"/>
        <v>860</v>
      </c>
      <c r="D137" t="str">
        <f t="shared" si="25"/>
        <v xml:space="preserve">    parameter p_paddr_198             = 16'h035C;</v>
      </c>
    </row>
    <row r="138" spans="1:4" x14ac:dyDescent="0.3">
      <c r="A138">
        <v>199</v>
      </c>
      <c r="B138" t="str">
        <f t="shared" si="23"/>
        <v>0360</v>
      </c>
      <c r="C138">
        <f t="shared" si="24"/>
        <v>864</v>
      </c>
      <c r="D138" t="str">
        <f t="shared" si="25"/>
        <v xml:space="preserve">    parameter p_paddr_199             = 16'h0360;</v>
      </c>
    </row>
    <row r="139" spans="1:4" x14ac:dyDescent="0.3">
      <c r="A139">
        <v>200</v>
      </c>
      <c r="B139" t="str">
        <f t="shared" si="23"/>
        <v>0364</v>
      </c>
      <c r="C139">
        <f t="shared" si="24"/>
        <v>868</v>
      </c>
      <c r="D139" t="str">
        <f t="shared" si="25"/>
        <v xml:space="preserve">    parameter p_paddr_200             = 16'h0364;</v>
      </c>
    </row>
    <row r="140" spans="1:4" x14ac:dyDescent="0.3">
      <c r="A140">
        <v>201</v>
      </c>
      <c r="B140" t="str">
        <f t="shared" si="23"/>
        <v>0368</v>
      </c>
      <c r="C140">
        <f t="shared" si="24"/>
        <v>872</v>
      </c>
      <c r="D140" t="str">
        <f t="shared" si="25"/>
        <v xml:space="preserve">    parameter p_paddr_201             = 16'h0368;</v>
      </c>
    </row>
    <row r="141" spans="1:4" x14ac:dyDescent="0.3">
      <c r="A141">
        <v>202</v>
      </c>
      <c r="B141" t="str">
        <f t="shared" si="23"/>
        <v>036C</v>
      </c>
      <c r="C141">
        <f t="shared" si="24"/>
        <v>876</v>
      </c>
      <c r="D141" t="str">
        <f t="shared" si="25"/>
        <v xml:space="preserve">    parameter p_paddr_202             = 16'h036C;</v>
      </c>
    </row>
    <row r="142" spans="1:4" x14ac:dyDescent="0.3">
      <c r="A142">
        <v>203</v>
      </c>
      <c r="B142" t="str">
        <f t="shared" si="23"/>
        <v>0370</v>
      </c>
      <c r="C142">
        <f t="shared" si="24"/>
        <v>880</v>
      </c>
      <c r="D142" t="str">
        <f t="shared" si="25"/>
        <v xml:space="preserve">    parameter p_paddr_203             = 16'h0370;</v>
      </c>
    </row>
    <row r="143" spans="1:4" x14ac:dyDescent="0.3">
      <c r="A143">
        <v>204</v>
      </c>
      <c r="B143" t="str">
        <f t="shared" si="23"/>
        <v>0374</v>
      </c>
      <c r="C143">
        <f t="shared" si="24"/>
        <v>884</v>
      </c>
      <c r="D143" t="str">
        <f t="shared" si="25"/>
        <v xml:space="preserve">    parameter p_paddr_204             = 16'h0374;</v>
      </c>
    </row>
    <row r="144" spans="1:4" x14ac:dyDescent="0.3">
      <c r="A144">
        <v>205</v>
      </c>
      <c r="B144" t="str">
        <f t="shared" si="23"/>
        <v>0378</v>
      </c>
      <c r="C144">
        <f t="shared" si="24"/>
        <v>888</v>
      </c>
      <c r="D144" t="str">
        <f t="shared" si="25"/>
        <v xml:space="preserve">    parameter p_paddr_205             = 16'h0378;</v>
      </c>
    </row>
    <row r="145" spans="1:4" x14ac:dyDescent="0.3">
      <c r="A145">
        <v>206</v>
      </c>
      <c r="B145" t="str">
        <f t="shared" si="23"/>
        <v>037C</v>
      </c>
      <c r="C145">
        <f t="shared" si="24"/>
        <v>892</v>
      </c>
      <c r="D145" t="str">
        <f t="shared" si="25"/>
        <v xml:space="preserve">    parameter p_paddr_206             = 16'h037C;</v>
      </c>
    </row>
    <row r="146" spans="1:4" x14ac:dyDescent="0.3">
      <c r="A146">
        <v>207</v>
      </c>
      <c r="B146" t="str">
        <f t="shared" si="23"/>
        <v>0380</v>
      </c>
      <c r="C146">
        <f t="shared" si="24"/>
        <v>896</v>
      </c>
      <c r="D146" t="str">
        <f t="shared" si="25"/>
        <v xml:space="preserve">    parameter p_paddr_207             = 16'h0380;</v>
      </c>
    </row>
    <row r="147" spans="1:4" x14ac:dyDescent="0.3">
      <c r="A147">
        <v>208</v>
      </c>
      <c r="B147" t="str">
        <f t="shared" si="23"/>
        <v>0384</v>
      </c>
      <c r="C147">
        <f t="shared" si="24"/>
        <v>900</v>
      </c>
      <c r="D147" t="str">
        <f t="shared" si="25"/>
        <v xml:space="preserve">    parameter p_paddr_208             = 16'h0384;</v>
      </c>
    </row>
    <row r="148" spans="1:4" x14ac:dyDescent="0.3">
      <c r="A148">
        <v>209</v>
      </c>
      <c r="B148" t="str">
        <f t="shared" si="23"/>
        <v>0388</v>
      </c>
      <c r="C148">
        <f t="shared" si="24"/>
        <v>904</v>
      </c>
      <c r="D148" t="str">
        <f t="shared" si="25"/>
        <v xml:space="preserve">    parameter p_paddr_209             = 16'h0388;</v>
      </c>
    </row>
    <row r="149" spans="1:4" x14ac:dyDescent="0.3">
      <c r="A149">
        <v>210</v>
      </c>
      <c r="B149" t="str">
        <f t="shared" si="23"/>
        <v>038C</v>
      </c>
      <c r="C149">
        <f t="shared" si="24"/>
        <v>908</v>
      </c>
      <c r="D149" t="str">
        <f t="shared" si="25"/>
        <v xml:space="preserve">    parameter p_paddr_210             = 16'h038C;</v>
      </c>
    </row>
    <row r="150" spans="1:4" x14ac:dyDescent="0.3">
      <c r="A150">
        <v>211</v>
      </c>
      <c r="B150" t="str">
        <f t="shared" si="23"/>
        <v>0390</v>
      </c>
      <c r="C150">
        <f t="shared" si="24"/>
        <v>912</v>
      </c>
      <c r="D150" t="str">
        <f t="shared" si="25"/>
        <v xml:space="preserve">    parameter p_paddr_211             = 16'h0390;</v>
      </c>
    </row>
    <row r="151" spans="1:4" x14ac:dyDescent="0.3">
      <c r="A151">
        <v>212</v>
      </c>
      <c r="B151" t="str">
        <f t="shared" si="23"/>
        <v>0394</v>
      </c>
      <c r="C151">
        <f t="shared" si="24"/>
        <v>916</v>
      </c>
      <c r="D151" t="str">
        <f t="shared" si="25"/>
        <v xml:space="preserve">    parameter p_paddr_212             = 16'h0394;</v>
      </c>
    </row>
    <row r="152" spans="1:4" x14ac:dyDescent="0.3">
      <c r="A152">
        <v>213</v>
      </c>
      <c r="B152" t="str">
        <f t="shared" si="23"/>
        <v>0398</v>
      </c>
      <c r="C152">
        <f t="shared" si="24"/>
        <v>920</v>
      </c>
      <c r="D152" t="str">
        <f t="shared" si="25"/>
        <v xml:space="preserve">    parameter p_paddr_213             = 16'h0398;</v>
      </c>
    </row>
    <row r="153" spans="1:4" x14ac:dyDescent="0.3">
      <c r="A153">
        <v>214</v>
      </c>
      <c r="B153" t="str">
        <f t="shared" si="23"/>
        <v>039C</v>
      </c>
      <c r="C153">
        <f t="shared" si="24"/>
        <v>924</v>
      </c>
      <c r="D153" t="str">
        <f t="shared" si="25"/>
        <v xml:space="preserve">    parameter p_paddr_214             = 16'h039C;</v>
      </c>
    </row>
    <row r="154" spans="1:4" x14ac:dyDescent="0.3">
      <c r="A154">
        <v>215</v>
      </c>
      <c r="B154" t="str">
        <f t="shared" si="23"/>
        <v>03A0</v>
      </c>
      <c r="C154">
        <f t="shared" si="24"/>
        <v>928</v>
      </c>
      <c r="D154" t="str">
        <f t="shared" si="25"/>
        <v xml:space="preserve">    parameter p_paddr_215             = 16'h03A0;</v>
      </c>
    </row>
    <row r="155" spans="1:4" x14ac:dyDescent="0.3">
      <c r="A155">
        <v>216</v>
      </c>
      <c r="B155" t="str">
        <f t="shared" si="23"/>
        <v>03A4</v>
      </c>
      <c r="C155">
        <f t="shared" si="24"/>
        <v>932</v>
      </c>
      <c r="D155" t="str">
        <f t="shared" si="25"/>
        <v xml:space="preserve">    parameter p_paddr_216             = 16'h03A4;</v>
      </c>
    </row>
    <row r="156" spans="1:4" x14ac:dyDescent="0.3">
      <c r="A156">
        <v>217</v>
      </c>
      <c r="B156" t="str">
        <f t="shared" si="23"/>
        <v>03A8</v>
      </c>
      <c r="C156">
        <f t="shared" si="24"/>
        <v>936</v>
      </c>
      <c r="D156" t="str">
        <f t="shared" si="25"/>
        <v xml:space="preserve">    parameter p_paddr_217             = 16'h03A8;</v>
      </c>
    </row>
    <row r="157" spans="1:4" x14ac:dyDescent="0.3">
      <c r="A157">
        <v>218</v>
      </c>
      <c r="B157" t="str">
        <f t="shared" si="23"/>
        <v>03AC</v>
      </c>
      <c r="C157">
        <f t="shared" si="24"/>
        <v>940</v>
      </c>
      <c r="D157" t="str">
        <f t="shared" si="25"/>
        <v xml:space="preserve">    parameter p_paddr_218             = 16'h03AC;</v>
      </c>
    </row>
    <row r="158" spans="1:4" x14ac:dyDescent="0.3">
      <c r="A158">
        <v>219</v>
      </c>
      <c r="B158" t="str">
        <f t="shared" si="23"/>
        <v>03B0</v>
      </c>
      <c r="C158">
        <f t="shared" si="24"/>
        <v>944</v>
      </c>
      <c r="D158" t="str">
        <f t="shared" si="25"/>
        <v xml:space="preserve">    parameter p_paddr_219             = 16'h03B0;</v>
      </c>
    </row>
    <row r="159" spans="1:4" x14ac:dyDescent="0.3">
      <c r="A159">
        <v>220</v>
      </c>
      <c r="B159" t="str">
        <f t="shared" si="23"/>
        <v>03B4</v>
      </c>
      <c r="C159">
        <f t="shared" si="24"/>
        <v>948</v>
      </c>
      <c r="D159" t="str">
        <f t="shared" si="25"/>
        <v xml:space="preserve">    parameter p_paddr_220             = 16'h03B4;</v>
      </c>
    </row>
    <row r="160" spans="1:4" x14ac:dyDescent="0.3">
      <c r="A160">
        <v>221</v>
      </c>
      <c r="B160" t="str">
        <f t="shared" si="23"/>
        <v>03B8</v>
      </c>
      <c r="C160">
        <f t="shared" si="24"/>
        <v>952</v>
      </c>
      <c r="D160" t="str">
        <f t="shared" si="25"/>
        <v xml:space="preserve">    parameter p_paddr_221             = 16'h03B8;</v>
      </c>
    </row>
    <row r="161" spans="1:4" x14ac:dyDescent="0.3">
      <c r="A161">
        <v>222</v>
      </c>
      <c r="B161" t="str">
        <f t="shared" si="23"/>
        <v>03BC</v>
      </c>
      <c r="C161">
        <f t="shared" si="24"/>
        <v>956</v>
      </c>
      <c r="D161" t="str">
        <f t="shared" si="25"/>
        <v xml:space="preserve">    parameter p_paddr_222             = 16'h03BC;</v>
      </c>
    </row>
    <row r="162" spans="1:4" x14ac:dyDescent="0.3">
      <c r="A162">
        <v>223</v>
      </c>
      <c r="B162" t="str">
        <f t="shared" si="23"/>
        <v>03C0</v>
      </c>
      <c r="C162">
        <f t="shared" si="24"/>
        <v>960</v>
      </c>
      <c r="D162" t="str">
        <f t="shared" si="25"/>
        <v xml:space="preserve">    parameter p_paddr_223             = 16'h03C0;</v>
      </c>
    </row>
    <row r="163" spans="1:4" x14ac:dyDescent="0.3">
      <c r="A163">
        <v>224</v>
      </c>
      <c r="B163" t="str">
        <f t="shared" si="23"/>
        <v>03C4</v>
      </c>
      <c r="C163">
        <f t="shared" si="24"/>
        <v>964</v>
      </c>
      <c r="D163" t="str">
        <f t="shared" si="25"/>
        <v xml:space="preserve">    parameter p_paddr_224             = 16'h03C4;</v>
      </c>
    </row>
    <row r="164" spans="1:4" x14ac:dyDescent="0.3">
      <c r="A164">
        <v>225</v>
      </c>
      <c r="B164" t="str">
        <f t="shared" si="23"/>
        <v>03C8</v>
      </c>
      <c r="C164">
        <f t="shared" si="24"/>
        <v>968</v>
      </c>
      <c r="D164" t="str">
        <f t="shared" si="25"/>
        <v xml:space="preserve">    parameter p_paddr_225             = 16'h03C8;</v>
      </c>
    </row>
    <row r="165" spans="1:4" x14ac:dyDescent="0.3">
      <c r="A165">
        <v>226</v>
      </c>
      <c r="B165" t="str">
        <f t="shared" si="23"/>
        <v>03CC</v>
      </c>
      <c r="C165">
        <f t="shared" si="24"/>
        <v>972</v>
      </c>
      <c r="D165" t="str">
        <f t="shared" si="25"/>
        <v xml:space="preserve">    parameter p_paddr_226             = 16'h03CC;</v>
      </c>
    </row>
    <row r="166" spans="1:4" x14ac:dyDescent="0.3">
      <c r="A166">
        <v>227</v>
      </c>
      <c r="B166" t="str">
        <f t="shared" si="23"/>
        <v>03D0</v>
      </c>
      <c r="C166">
        <f t="shared" si="24"/>
        <v>976</v>
      </c>
      <c r="D166" t="str">
        <f t="shared" si="25"/>
        <v xml:space="preserve">    parameter p_paddr_227             = 16'h03D0;</v>
      </c>
    </row>
    <row r="167" spans="1:4" x14ac:dyDescent="0.3">
      <c r="A167">
        <v>228</v>
      </c>
      <c r="B167" t="str">
        <f t="shared" si="23"/>
        <v>03D4</v>
      </c>
      <c r="C167">
        <f t="shared" si="24"/>
        <v>980</v>
      </c>
      <c r="D167" t="str">
        <f t="shared" si="25"/>
        <v xml:space="preserve">    parameter p_paddr_228             = 16'h03D4;</v>
      </c>
    </row>
    <row r="168" spans="1:4" x14ac:dyDescent="0.3">
      <c r="A168">
        <v>229</v>
      </c>
      <c r="B168" t="str">
        <f t="shared" si="23"/>
        <v>03D8</v>
      </c>
      <c r="C168">
        <f t="shared" si="24"/>
        <v>984</v>
      </c>
      <c r="D168" t="str">
        <f t="shared" si="25"/>
        <v xml:space="preserve">    parameter p_paddr_229             = 16'h03D8;</v>
      </c>
    </row>
    <row r="169" spans="1:4" x14ac:dyDescent="0.3">
      <c r="A169">
        <v>230</v>
      </c>
      <c r="B169" t="str">
        <f t="shared" si="23"/>
        <v>03DC</v>
      </c>
      <c r="C169">
        <f t="shared" si="24"/>
        <v>988</v>
      </c>
      <c r="D169" t="str">
        <f t="shared" si="25"/>
        <v xml:space="preserve">    parameter p_paddr_230             = 16'h03DC;</v>
      </c>
    </row>
    <row r="170" spans="1:4" x14ac:dyDescent="0.3">
      <c r="A170">
        <v>231</v>
      </c>
      <c r="B170" t="str">
        <f t="shared" si="23"/>
        <v>03E0</v>
      </c>
      <c r="C170">
        <f t="shared" si="24"/>
        <v>992</v>
      </c>
      <c r="D170" t="str">
        <f t="shared" si="25"/>
        <v xml:space="preserve">    parameter p_paddr_231             = 16'h03E0;</v>
      </c>
    </row>
    <row r="171" spans="1:4" x14ac:dyDescent="0.3">
      <c r="A171">
        <v>232</v>
      </c>
      <c r="B171" t="str">
        <f t="shared" si="23"/>
        <v>03E4</v>
      </c>
      <c r="C171">
        <f t="shared" si="24"/>
        <v>996</v>
      </c>
      <c r="D171" t="str">
        <f t="shared" si="25"/>
        <v xml:space="preserve">    parameter p_paddr_232             = 16'h03E4;</v>
      </c>
    </row>
    <row r="172" spans="1:4" x14ac:dyDescent="0.3">
      <c r="A172">
        <v>233</v>
      </c>
      <c r="B172" t="str">
        <f t="shared" si="23"/>
        <v>03E8</v>
      </c>
      <c r="C172">
        <f t="shared" si="24"/>
        <v>1000</v>
      </c>
      <c r="D172" t="str">
        <f t="shared" si="25"/>
        <v xml:space="preserve">    parameter p_paddr_233             = 16'h03E8;</v>
      </c>
    </row>
    <row r="173" spans="1:4" x14ac:dyDescent="0.3">
      <c r="A173">
        <v>234</v>
      </c>
      <c r="B173" t="str">
        <f t="shared" si="23"/>
        <v>03EC</v>
      </c>
      <c r="C173">
        <f t="shared" si="24"/>
        <v>1004</v>
      </c>
      <c r="D173" t="str">
        <f t="shared" si="25"/>
        <v xml:space="preserve">    parameter p_paddr_234             = 16'h03EC;</v>
      </c>
    </row>
    <row r="174" spans="1:4" x14ac:dyDescent="0.3">
      <c r="A174">
        <v>235</v>
      </c>
      <c r="B174" t="str">
        <f t="shared" si="23"/>
        <v>03F0</v>
      </c>
      <c r="C174">
        <f t="shared" si="24"/>
        <v>1008</v>
      </c>
      <c r="D174" t="str">
        <f t="shared" si="25"/>
        <v xml:space="preserve">    parameter p_paddr_235             = 16'h03F0;</v>
      </c>
    </row>
    <row r="175" spans="1:4" x14ac:dyDescent="0.3">
      <c r="A175">
        <v>236</v>
      </c>
      <c r="B175" t="str">
        <f t="shared" si="23"/>
        <v>03F4</v>
      </c>
      <c r="C175">
        <f t="shared" si="24"/>
        <v>1012</v>
      </c>
      <c r="D175" t="str">
        <f t="shared" si="25"/>
        <v xml:space="preserve">    parameter p_paddr_236             = 16'h03F4;</v>
      </c>
    </row>
    <row r="176" spans="1:4" x14ac:dyDescent="0.3">
      <c r="A176">
        <v>237</v>
      </c>
      <c r="B176" t="str">
        <f t="shared" si="23"/>
        <v>03F8</v>
      </c>
      <c r="C176">
        <f t="shared" si="24"/>
        <v>1016</v>
      </c>
      <c r="D176" t="str">
        <f t="shared" si="25"/>
        <v xml:space="preserve">    parameter p_paddr_237             = 16'h03F8;</v>
      </c>
    </row>
    <row r="177" spans="1:4" x14ac:dyDescent="0.3">
      <c r="A177">
        <v>238</v>
      </c>
      <c r="B177" t="str">
        <f t="shared" ref="B177:B196" si="26">DEC2HEX(C177,4)</f>
        <v>03FC</v>
      </c>
      <c r="C177">
        <f t="shared" ref="C177:C196" si="27">$B$1+A177*4</f>
        <v>1020</v>
      </c>
      <c r="D177" t="str">
        <f t="shared" ref="D177:D196" si="28">"    parameter p_paddr_"&amp;A177&amp;"             = 16'h"&amp;B177&amp;";"</f>
        <v xml:space="preserve">    parameter p_paddr_238             = 16'h03FC;</v>
      </c>
    </row>
    <row r="178" spans="1:4" x14ac:dyDescent="0.3">
      <c r="A178">
        <v>239</v>
      </c>
      <c r="B178" t="str">
        <f t="shared" si="26"/>
        <v>0400</v>
      </c>
      <c r="C178">
        <f t="shared" si="27"/>
        <v>1024</v>
      </c>
      <c r="D178" t="str">
        <f t="shared" si="28"/>
        <v xml:space="preserve">    parameter p_paddr_239             = 16'h0400;</v>
      </c>
    </row>
    <row r="179" spans="1:4" x14ac:dyDescent="0.3">
      <c r="A179">
        <v>240</v>
      </c>
      <c r="B179" t="str">
        <f t="shared" si="26"/>
        <v>0404</v>
      </c>
      <c r="C179">
        <f t="shared" si="27"/>
        <v>1028</v>
      </c>
      <c r="D179" t="str">
        <f t="shared" si="28"/>
        <v xml:space="preserve">    parameter p_paddr_240             = 16'h0404;</v>
      </c>
    </row>
    <row r="180" spans="1:4" x14ac:dyDescent="0.3">
      <c r="A180">
        <v>241</v>
      </c>
      <c r="B180" t="str">
        <f t="shared" si="26"/>
        <v>0408</v>
      </c>
      <c r="C180">
        <f t="shared" si="27"/>
        <v>1032</v>
      </c>
      <c r="D180" t="str">
        <f t="shared" si="28"/>
        <v xml:space="preserve">    parameter p_paddr_241             = 16'h0408;</v>
      </c>
    </row>
    <row r="181" spans="1:4" x14ac:dyDescent="0.3">
      <c r="A181">
        <v>242</v>
      </c>
      <c r="B181" t="str">
        <f t="shared" si="26"/>
        <v>040C</v>
      </c>
      <c r="C181">
        <f t="shared" si="27"/>
        <v>1036</v>
      </c>
      <c r="D181" t="str">
        <f t="shared" si="28"/>
        <v xml:space="preserve">    parameter p_paddr_242             = 16'h040C;</v>
      </c>
    </row>
    <row r="182" spans="1:4" x14ac:dyDescent="0.3">
      <c r="A182">
        <v>243</v>
      </c>
      <c r="B182" t="str">
        <f t="shared" si="26"/>
        <v>0410</v>
      </c>
      <c r="C182">
        <f t="shared" si="27"/>
        <v>1040</v>
      </c>
      <c r="D182" t="str">
        <f t="shared" si="28"/>
        <v xml:space="preserve">    parameter p_paddr_243             = 16'h0410;</v>
      </c>
    </row>
    <row r="183" spans="1:4" x14ac:dyDescent="0.3">
      <c r="A183">
        <v>244</v>
      </c>
      <c r="B183" t="str">
        <f t="shared" si="26"/>
        <v>0414</v>
      </c>
      <c r="C183">
        <f t="shared" si="27"/>
        <v>1044</v>
      </c>
      <c r="D183" t="str">
        <f t="shared" si="28"/>
        <v xml:space="preserve">    parameter p_paddr_244             = 16'h0414;</v>
      </c>
    </row>
    <row r="184" spans="1:4" x14ac:dyDescent="0.3">
      <c r="A184">
        <v>245</v>
      </c>
      <c r="B184" t="str">
        <f t="shared" si="26"/>
        <v>0418</v>
      </c>
      <c r="C184">
        <f t="shared" si="27"/>
        <v>1048</v>
      </c>
      <c r="D184" t="str">
        <f t="shared" si="28"/>
        <v xml:space="preserve">    parameter p_paddr_245             = 16'h0418;</v>
      </c>
    </row>
    <row r="185" spans="1:4" x14ac:dyDescent="0.3">
      <c r="A185">
        <v>246</v>
      </c>
      <c r="B185" t="str">
        <f t="shared" si="26"/>
        <v>041C</v>
      </c>
      <c r="C185">
        <f t="shared" si="27"/>
        <v>1052</v>
      </c>
      <c r="D185" t="str">
        <f t="shared" si="28"/>
        <v xml:space="preserve">    parameter p_paddr_246             = 16'h041C;</v>
      </c>
    </row>
    <row r="186" spans="1:4" x14ac:dyDescent="0.3">
      <c r="A186">
        <v>247</v>
      </c>
      <c r="B186" t="str">
        <f t="shared" si="26"/>
        <v>0420</v>
      </c>
      <c r="C186">
        <f t="shared" si="27"/>
        <v>1056</v>
      </c>
      <c r="D186" t="str">
        <f t="shared" si="28"/>
        <v xml:space="preserve">    parameter p_paddr_247             = 16'h0420;</v>
      </c>
    </row>
    <row r="187" spans="1:4" x14ac:dyDescent="0.3">
      <c r="A187">
        <v>248</v>
      </c>
      <c r="B187" t="str">
        <f t="shared" si="26"/>
        <v>0424</v>
      </c>
      <c r="C187">
        <f t="shared" si="27"/>
        <v>1060</v>
      </c>
      <c r="D187" t="str">
        <f t="shared" si="28"/>
        <v xml:space="preserve">    parameter p_paddr_248             = 16'h0424;</v>
      </c>
    </row>
    <row r="188" spans="1:4" x14ac:dyDescent="0.3">
      <c r="A188">
        <v>249</v>
      </c>
      <c r="B188" t="str">
        <f t="shared" si="26"/>
        <v>0428</v>
      </c>
      <c r="C188">
        <f t="shared" si="27"/>
        <v>1064</v>
      </c>
      <c r="D188" t="str">
        <f t="shared" si="28"/>
        <v xml:space="preserve">    parameter p_paddr_249             = 16'h0428;</v>
      </c>
    </row>
    <row r="189" spans="1:4" x14ac:dyDescent="0.3">
      <c r="A189">
        <v>250</v>
      </c>
      <c r="B189" t="str">
        <f t="shared" si="26"/>
        <v>042C</v>
      </c>
      <c r="C189">
        <f t="shared" si="27"/>
        <v>1068</v>
      </c>
      <c r="D189" t="str">
        <f t="shared" si="28"/>
        <v xml:space="preserve">    parameter p_paddr_250             = 16'h042C;</v>
      </c>
    </row>
    <row r="190" spans="1:4" x14ac:dyDescent="0.3">
      <c r="A190">
        <v>251</v>
      </c>
      <c r="B190" t="str">
        <f t="shared" si="26"/>
        <v>0430</v>
      </c>
      <c r="C190">
        <f t="shared" si="27"/>
        <v>1072</v>
      </c>
      <c r="D190" t="str">
        <f t="shared" si="28"/>
        <v xml:space="preserve">    parameter p_paddr_251             = 16'h0430;</v>
      </c>
    </row>
    <row r="191" spans="1:4" x14ac:dyDescent="0.3">
      <c r="A191">
        <v>252</v>
      </c>
      <c r="B191" t="str">
        <f t="shared" si="26"/>
        <v>0434</v>
      </c>
      <c r="C191">
        <f t="shared" si="27"/>
        <v>1076</v>
      </c>
      <c r="D191" t="str">
        <f t="shared" si="28"/>
        <v xml:space="preserve">    parameter p_paddr_252             = 16'h0434;</v>
      </c>
    </row>
    <row r="192" spans="1:4" x14ac:dyDescent="0.3">
      <c r="A192">
        <v>253</v>
      </c>
      <c r="B192" t="str">
        <f t="shared" si="26"/>
        <v>0438</v>
      </c>
      <c r="C192">
        <f t="shared" si="27"/>
        <v>1080</v>
      </c>
      <c r="D192" t="str">
        <f t="shared" si="28"/>
        <v xml:space="preserve">    parameter p_paddr_253             = 16'h0438;</v>
      </c>
    </row>
    <row r="193" spans="1:4" x14ac:dyDescent="0.3">
      <c r="A193">
        <v>254</v>
      </c>
      <c r="B193" t="str">
        <f t="shared" si="26"/>
        <v>043C</v>
      </c>
      <c r="C193">
        <f t="shared" si="27"/>
        <v>1084</v>
      </c>
      <c r="D193" t="str">
        <f t="shared" si="28"/>
        <v xml:space="preserve">    parameter p_paddr_254             = 16'h043C;</v>
      </c>
    </row>
    <row r="194" spans="1:4" x14ac:dyDescent="0.3">
      <c r="A194">
        <v>255</v>
      </c>
      <c r="B194" t="str">
        <f t="shared" si="26"/>
        <v>0440</v>
      </c>
      <c r="C194">
        <f t="shared" si="27"/>
        <v>1088</v>
      </c>
      <c r="D194" t="str">
        <f t="shared" si="28"/>
        <v xml:space="preserve">    parameter p_paddr_255             = 16'h0440;</v>
      </c>
    </row>
    <row r="195" spans="1:4" x14ac:dyDescent="0.3">
      <c r="A195">
        <v>256</v>
      </c>
      <c r="B195" t="str">
        <f t="shared" si="26"/>
        <v>0444</v>
      </c>
      <c r="C195">
        <f t="shared" si="27"/>
        <v>1092</v>
      </c>
      <c r="D195" t="str">
        <f t="shared" si="28"/>
        <v xml:space="preserve">    parameter p_paddr_256             = 16'h0444;</v>
      </c>
    </row>
    <row r="196" spans="1:4" x14ac:dyDescent="0.3">
      <c r="A196">
        <v>257</v>
      </c>
      <c r="B196" t="str">
        <f t="shared" si="26"/>
        <v>0448</v>
      </c>
      <c r="C196">
        <f t="shared" si="27"/>
        <v>1096</v>
      </c>
      <c r="D196" t="str">
        <f t="shared" si="28"/>
        <v xml:space="preserve">    parameter p_paddr_257             = 16'h0448;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306"/>
  <sheetViews>
    <sheetView topLeftCell="A167" workbookViewId="0">
      <selection activeCell="C197" sqref="C197"/>
    </sheetView>
  </sheetViews>
  <sheetFormatPr defaultRowHeight="15" x14ac:dyDescent="0.3"/>
  <sheetData>
    <row r="2" spans="1:2" x14ac:dyDescent="0.3">
      <c r="A2">
        <v>63</v>
      </c>
      <c r="B2" t="str">
        <f>"                    p_paddr_"&amp;A2&amp;"              : r_reg_readdata &lt;= {8'd0,sr_paddr_dat["&amp;A2&amp;"]};"</f>
        <v xml:space="preserve">                    p_paddr_63              : r_reg_readdata &lt;= {8'd0,sr_paddr_dat[63]};</v>
      </c>
    </row>
    <row r="3" spans="1:2" x14ac:dyDescent="0.3">
      <c r="A3">
        <v>64</v>
      </c>
      <c r="B3" t="str">
        <f t="shared" ref="B3:B62" si="0">"                    p_paddr_"&amp;A3&amp;"              : r_reg_readdata &lt;= {8'd0,sr_paddr_dat["&amp;A3&amp;"]};"</f>
        <v xml:space="preserve">                    p_paddr_64              : r_reg_readdata &lt;= {8'd0,sr_paddr_dat[64]};</v>
      </c>
    </row>
    <row r="4" spans="1:2" x14ac:dyDescent="0.3">
      <c r="A4">
        <v>65</v>
      </c>
      <c r="B4" t="str">
        <f t="shared" si="0"/>
        <v xml:space="preserve">                    p_paddr_65              : r_reg_readdata &lt;= {8'd0,sr_paddr_dat[65]};</v>
      </c>
    </row>
    <row r="5" spans="1:2" x14ac:dyDescent="0.3">
      <c r="A5">
        <v>66</v>
      </c>
      <c r="B5" t="str">
        <f t="shared" si="0"/>
        <v xml:space="preserve">                    p_paddr_66              : r_reg_readdata &lt;= {8'd0,sr_paddr_dat[66]};</v>
      </c>
    </row>
    <row r="6" spans="1:2" x14ac:dyDescent="0.3">
      <c r="A6">
        <v>67</v>
      </c>
      <c r="B6" t="str">
        <f t="shared" si="0"/>
        <v xml:space="preserve">                    p_paddr_67              : r_reg_readdata &lt;= {8'd0,sr_paddr_dat[67]};</v>
      </c>
    </row>
    <row r="7" spans="1:2" x14ac:dyDescent="0.3">
      <c r="A7">
        <v>68</v>
      </c>
      <c r="B7" t="str">
        <f t="shared" si="0"/>
        <v xml:space="preserve">                    p_paddr_68              : r_reg_readdata &lt;= {8'd0,sr_paddr_dat[68]};</v>
      </c>
    </row>
    <row r="8" spans="1:2" x14ac:dyDescent="0.3">
      <c r="A8">
        <v>69</v>
      </c>
      <c r="B8" t="str">
        <f t="shared" si="0"/>
        <v xml:space="preserve">                    p_paddr_69              : r_reg_readdata &lt;= {8'd0,sr_paddr_dat[69]};</v>
      </c>
    </row>
    <row r="9" spans="1:2" x14ac:dyDescent="0.3">
      <c r="A9">
        <v>70</v>
      </c>
      <c r="B9" t="str">
        <f t="shared" si="0"/>
        <v xml:space="preserve">                    p_paddr_70              : r_reg_readdata &lt;= {8'd0,sr_paddr_dat[70]};</v>
      </c>
    </row>
    <row r="10" spans="1:2" x14ac:dyDescent="0.3">
      <c r="A10">
        <v>71</v>
      </c>
      <c r="B10" t="str">
        <f t="shared" si="0"/>
        <v xml:space="preserve">                    p_paddr_71              : r_reg_readdata &lt;= {8'd0,sr_paddr_dat[71]};</v>
      </c>
    </row>
    <row r="11" spans="1:2" x14ac:dyDescent="0.3">
      <c r="A11">
        <v>72</v>
      </c>
      <c r="B11" t="str">
        <f t="shared" si="0"/>
        <v xml:space="preserve">                    p_paddr_72              : r_reg_readdata &lt;= {8'd0,sr_paddr_dat[72]};</v>
      </c>
    </row>
    <row r="12" spans="1:2" x14ac:dyDescent="0.3">
      <c r="A12">
        <v>73</v>
      </c>
      <c r="B12" t="str">
        <f t="shared" si="0"/>
        <v xml:space="preserve">                    p_paddr_73              : r_reg_readdata &lt;= {8'd0,sr_paddr_dat[73]};</v>
      </c>
    </row>
    <row r="13" spans="1:2" x14ac:dyDescent="0.3">
      <c r="A13">
        <v>74</v>
      </c>
      <c r="B13" t="str">
        <f t="shared" si="0"/>
        <v xml:space="preserve">                    p_paddr_74              : r_reg_readdata &lt;= {8'd0,sr_paddr_dat[74]};</v>
      </c>
    </row>
    <row r="14" spans="1:2" x14ac:dyDescent="0.3">
      <c r="A14">
        <v>75</v>
      </c>
      <c r="B14" t="str">
        <f t="shared" si="0"/>
        <v xml:space="preserve">                    p_paddr_75              : r_reg_readdata &lt;= {8'd0,sr_paddr_dat[75]};</v>
      </c>
    </row>
    <row r="15" spans="1:2" x14ac:dyDescent="0.3">
      <c r="A15">
        <v>76</v>
      </c>
      <c r="B15" t="str">
        <f t="shared" si="0"/>
        <v xml:space="preserve">                    p_paddr_76              : r_reg_readdata &lt;= {8'd0,sr_paddr_dat[76]};</v>
      </c>
    </row>
    <row r="16" spans="1:2" x14ac:dyDescent="0.3">
      <c r="A16">
        <v>77</v>
      </c>
      <c r="B16" t="str">
        <f t="shared" si="0"/>
        <v xml:space="preserve">                    p_paddr_77              : r_reg_readdata &lt;= {8'd0,sr_paddr_dat[77]};</v>
      </c>
    </row>
    <row r="17" spans="1:2" x14ac:dyDescent="0.3">
      <c r="A17">
        <v>78</v>
      </c>
      <c r="B17" t="str">
        <f t="shared" si="0"/>
        <v xml:space="preserve">                    p_paddr_78              : r_reg_readdata &lt;= {8'd0,sr_paddr_dat[78]};</v>
      </c>
    </row>
    <row r="18" spans="1:2" x14ac:dyDescent="0.3">
      <c r="A18">
        <v>79</v>
      </c>
      <c r="B18" t="str">
        <f t="shared" si="0"/>
        <v xml:space="preserve">                    p_paddr_79              : r_reg_readdata &lt;= {8'd0,sr_paddr_dat[79]};</v>
      </c>
    </row>
    <row r="19" spans="1:2" x14ac:dyDescent="0.3">
      <c r="A19">
        <v>80</v>
      </c>
      <c r="B19" t="str">
        <f t="shared" si="0"/>
        <v xml:space="preserve">                    p_paddr_80              : r_reg_readdata &lt;= {8'd0,sr_paddr_dat[80]};</v>
      </c>
    </row>
    <row r="20" spans="1:2" x14ac:dyDescent="0.3">
      <c r="A20">
        <v>81</v>
      </c>
      <c r="B20" t="str">
        <f t="shared" si="0"/>
        <v xml:space="preserve">                    p_paddr_81              : r_reg_readdata &lt;= {8'd0,sr_paddr_dat[81]};</v>
      </c>
    </row>
    <row r="21" spans="1:2" x14ac:dyDescent="0.3">
      <c r="A21">
        <v>82</v>
      </c>
      <c r="B21" t="str">
        <f t="shared" si="0"/>
        <v xml:space="preserve">                    p_paddr_82              : r_reg_readdata &lt;= {8'd0,sr_paddr_dat[82]};</v>
      </c>
    </row>
    <row r="22" spans="1:2" x14ac:dyDescent="0.3">
      <c r="A22">
        <v>83</v>
      </c>
      <c r="B22" t="str">
        <f t="shared" si="0"/>
        <v xml:space="preserve">                    p_paddr_83              : r_reg_readdata &lt;= {8'd0,sr_paddr_dat[83]};</v>
      </c>
    </row>
    <row r="23" spans="1:2" x14ac:dyDescent="0.3">
      <c r="A23">
        <v>84</v>
      </c>
      <c r="B23" t="str">
        <f t="shared" si="0"/>
        <v xml:space="preserve">                    p_paddr_84              : r_reg_readdata &lt;= {8'd0,sr_paddr_dat[84]};</v>
      </c>
    </row>
    <row r="24" spans="1:2" x14ac:dyDescent="0.3">
      <c r="A24">
        <v>85</v>
      </c>
      <c r="B24" t="str">
        <f t="shared" si="0"/>
        <v xml:space="preserve">                    p_paddr_85              : r_reg_readdata &lt;= {8'd0,sr_paddr_dat[85]};</v>
      </c>
    </row>
    <row r="25" spans="1:2" x14ac:dyDescent="0.3">
      <c r="A25">
        <v>86</v>
      </c>
      <c r="B25" t="str">
        <f t="shared" si="0"/>
        <v xml:space="preserve">                    p_paddr_86              : r_reg_readdata &lt;= {8'd0,sr_paddr_dat[86]};</v>
      </c>
    </row>
    <row r="26" spans="1:2" x14ac:dyDescent="0.3">
      <c r="A26">
        <v>87</v>
      </c>
      <c r="B26" t="str">
        <f t="shared" si="0"/>
        <v xml:space="preserve">                    p_paddr_87              : r_reg_readdata &lt;= {8'd0,sr_paddr_dat[87]};</v>
      </c>
    </row>
    <row r="27" spans="1:2" x14ac:dyDescent="0.3">
      <c r="A27">
        <v>88</v>
      </c>
      <c r="B27" t="str">
        <f t="shared" si="0"/>
        <v xml:space="preserve">                    p_paddr_88              : r_reg_readdata &lt;= {8'd0,sr_paddr_dat[88]};</v>
      </c>
    </row>
    <row r="28" spans="1:2" x14ac:dyDescent="0.3">
      <c r="A28">
        <v>89</v>
      </c>
      <c r="B28" t="str">
        <f t="shared" si="0"/>
        <v xml:space="preserve">                    p_paddr_89              : r_reg_readdata &lt;= {8'd0,sr_paddr_dat[89]};</v>
      </c>
    </row>
    <row r="29" spans="1:2" x14ac:dyDescent="0.3">
      <c r="A29">
        <v>90</v>
      </c>
      <c r="B29" t="str">
        <f t="shared" si="0"/>
        <v xml:space="preserve">                    p_paddr_90              : r_reg_readdata &lt;= {8'd0,sr_paddr_dat[90]};</v>
      </c>
    </row>
    <row r="30" spans="1:2" x14ac:dyDescent="0.3">
      <c r="A30">
        <v>91</v>
      </c>
      <c r="B30" t="str">
        <f t="shared" si="0"/>
        <v xml:space="preserve">                    p_paddr_91              : r_reg_readdata &lt;= {8'd0,sr_paddr_dat[91]};</v>
      </c>
    </row>
    <row r="31" spans="1:2" x14ac:dyDescent="0.3">
      <c r="A31">
        <v>92</v>
      </c>
      <c r="B31" t="str">
        <f t="shared" si="0"/>
        <v xml:space="preserve">                    p_paddr_92              : r_reg_readdata &lt;= {8'd0,sr_paddr_dat[92]};</v>
      </c>
    </row>
    <row r="32" spans="1:2" x14ac:dyDescent="0.3">
      <c r="A32">
        <v>93</v>
      </c>
      <c r="B32" t="str">
        <f t="shared" si="0"/>
        <v xml:space="preserve">                    p_paddr_93              : r_reg_readdata &lt;= {8'd0,sr_paddr_dat[93]};</v>
      </c>
    </row>
    <row r="33" spans="1:2" x14ac:dyDescent="0.3">
      <c r="A33">
        <v>94</v>
      </c>
      <c r="B33" t="str">
        <f t="shared" si="0"/>
        <v xml:space="preserve">                    p_paddr_94              : r_reg_readdata &lt;= {8'd0,sr_paddr_dat[94]};</v>
      </c>
    </row>
    <row r="34" spans="1:2" x14ac:dyDescent="0.3">
      <c r="A34">
        <v>95</v>
      </c>
      <c r="B34" t="str">
        <f t="shared" si="0"/>
        <v xml:space="preserve">                    p_paddr_95              : r_reg_readdata &lt;= {8'd0,sr_paddr_dat[95]};</v>
      </c>
    </row>
    <row r="35" spans="1:2" x14ac:dyDescent="0.3">
      <c r="A35">
        <v>96</v>
      </c>
      <c r="B35" t="str">
        <f t="shared" si="0"/>
        <v xml:space="preserve">                    p_paddr_96              : r_reg_readdata &lt;= {8'd0,sr_paddr_dat[96]};</v>
      </c>
    </row>
    <row r="36" spans="1:2" x14ac:dyDescent="0.3">
      <c r="A36">
        <v>97</v>
      </c>
      <c r="B36" t="str">
        <f t="shared" si="0"/>
        <v xml:space="preserve">                    p_paddr_97              : r_reg_readdata &lt;= {8'd0,sr_paddr_dat[97]};</v>
      </c>
    </row>
    <row r="37" spans="1:2" x14ac:dyDescent="0.3">
      <c r="A37">
        <v>98</v>
      </c>
      <c r="B37" t="str">
        <f t="shared" si="0"/>
        <v xml:space="preserve">                    p_paddr_98              : r_reg_readdata &lt;= {8'd0,sr_paddr_dat[98]};</v>
      </c>
    </row>
    <row r="38" spans="1:2" x14ac:dyDescent="0.3">
      <c r="A38">
        <v>99</v>
      </c>
      <c r="B38" t="str">
        <f t="shared" si="0"/>
        <v xml:space="preserve">                    p_paddr_99              : r_reg_readdata &lt;= {8'd0,sr_paddr_dat[99]};</v>
      </c>
    </row>
    <row r="39" spans="1:2" x14ac:dyDescent="0.3">
      <c r="A39">
        <v>100</v>
      </c>
      <c r="B39" t="str">
        <f t="shared" si="0"/>
        <v xml:space="preserve">                    p_paddr_100              : r_reg_readdata &lt;= {8'd0,sr_paddr_dat[100]};</v>
      </c>
    </row>
    <row r="40" spans="1:2" x14ac:dyDescent="0.3">
      <c r="A40">
        <v>101</v>
      </c>
      <c r="B40" t="str">
        <f t="shared" si="0"/>
        <v xml:space="preserve">                    p_paddr_101              : r_reg_readdata &lt;= {8'd0,sr_paddr_dat[101]};</v>
      </c>
    </row>
    <row r="41" spans="1:2" x14ac:dyDescent="0.3">
      <c r="A41">
        <v>102</v>
      </c>
      <c r="B41" t="str">
        <f t="shared" si="0"/>
        <v xml:space="preserve">                    p_paddr_102              : r_reg_readdata &lt;= {8'd0,sr_paddr_dat[102]};</v>
      </c>
    </row>
    <row r="42" spans="1:2" x14ac:dyDescent="0.3">
      <c r="A42">
        <v>103</v>
      </c>
      <c r="B42" t="str">
        <f t="shared" si="0"/>
        <v xml:space="preserve">                    p_paddr_103              : r_reg_readdata &lt;= {8'd0,sr_paddr_dat[103]};</v>
      </c>
    </row>
    <row r="43" spans="1:2" x14ac:dyDescent="0.3">
      <c r="A43">
        <v>104</v>
      </c>
      <c r="B43" t="str">
        <f t="shared" si="0"/>
        <v xml:space="preserve">                    p_paddr_104              : r_reg_readdata &lt;= {8'd0,sr_paddr_dat[104]};</v>
      </c>
    </row>
    <row r="44" spans="1:2" x14ac:dyDescent="0.3">
      <c r="A44">
        <v>105</v>
      </c>
      <c r="B44" t="str">
        <f t="shared" si="0"/>
        <v xml:space="preserve">                    p_paddr_105              : r_reg_readdata &lt;= {8'd0,sr_paddr_dat[105]};</v>
      </c>
    </row>
    <row r="45" spans="1:2" x14ac:dyDescent="0.3">
      <c r="A45">
        <v>106</v>
      </c>
      <c r="B45" t="str">
        <f t="shared" si="0"/>
        <v xml:space="preserve">                    p_paddr_106              : r_reg_readdata &lt;= {8'd0,sr_paddr_dat[106]};</v>
      </c>
    </row>
    <row r="46" spans="1:2" x14ac:dyDescent="0.3">
      <c r="A46">
        <v>107</v>
      </c>
      <c r="B46" t="str">
        <f t="shared" si="0"/>
        <v xml:space="preserve">                    p_paddr_107              : r_reg_readdata &lt;= {8'd0,sr_paddr_dat[107]};</v>
      </c>
    </row>
    <row r="47" spans="1:2" x14ac:dyDescent="0.3">
      <c r="A47">
        <v>108</v>
      </c>
      <c r="B47" t="str">
        <f t="shared" si="0"/>
        <v xml:space="preserve">                    p_paddr_108              : r_reg_readdata &lt;= {8'd0,sr_paddr_dat[108]};</v>
      </c>
    </row>
    <row r="48" spans="1:2" x14ac:dyDescent="0.3">
      <c r="A48">
        <v>109</v>
      </c>
      <c r="B48" t="str">
        <f t="shared" si="0"/>
        <v xml:space="preserve">                    p_paddr_109              : r_reg_readdata &lt;= {8'd0,sr_paddr_dat[109]};</v>
      </c>
    </row>
    <row r="49" spans="1:2" x14ac:dyDescent="0.3">
      <c r="A49">
        <v>110</v>
      </c>
      <c r="B49" t="str">
        <f t="shared" si="0"/>
        <v xml:space="preserve">                    p_paddr_110              : r_reg_readdata &lt;= {8'd0,sr_paddr_dat[110]};</v>
      </c>
    </row>
    <row r="50" spans="1:2" x14ac:dyDescent="0.3">
      <c r="A50">
        <v>111</v>
      </c>
      <c r="B50" t="str">
        <f t="shared" si="0"/>
        <v xml:space="preserve">                    p_paddr_111              : r_reg_readdata &lt;= {8'd0,sr_paddr_dat[111]};</v>
      </c>
    </row>
    <row r="51" spans="1:2" x14ac:dyDescent="0.3">
      <c r="A51">
        <v>112</v>
      </c>
      <c r="B51" t="str">
        <f t="shared" si="0"/>
        <v xml:space="preserve">                    p_paddr_112              : r_reg_readdata &lt;= {8'd0,sr_paddr_dat[112]};</v>
      </c>
    </row>
    <row r="52" spans="1:2" x14ac:dyDescent="0.3">
      <c r="A52">
        <v>113</v>
      </c>
      <c r="B52" t="str">
        <f t="shared" si="0"/>
        <v xml:space="preserve">                    p_paddr_113              : r_reg_readdata &lt;= {8'd0,sr_paddr_dat[113]};</v>
      </c>
    </row>
    <row r="53" spans="1:2" x14ac:dyDescent="0.3">
      <c r="A53">
        <v>114</v>
      </c>
      <c r="B53" t="str">
        <f t="shared" si="0"/>
        <v xml:space="preserve">                    p_paddr_114              : r_reg_readdata &lt;= {8'd0,sr_paddr_dat[114]};</v>
      </c>
    </row>
    <row r="54" spans="1:2" x14ac:dyDescent="0.3">
      <c r="A54">
        <v>115</v>
      </c>
      <c r="B54" t="str">
        <f t="shared" si="0"/>
        <v xml:space="preserve">                    p_paddr_115              : r_reg_readdata &lt;= {8'd0,sr_paddr_dat[115]};</v>
      </c>
    </row>
    <row r="55" spans="1:2" x14ac:dyDescent="0.3">
      <c r="A55">
        <v>116</v>
      </c>
      <c r="B55" t="str">
        <f t="shared" si="0"/>
        <v xml:space="preserve">                    p_paddr_116              : r_reg_readdata &lt;= {8'd0,sr_paddr_dat[116]};</v>
      </c>
    </row>
    <row r="56" spans="1:2" x14ac:dyDescent="0.3">
      <c r="A56">
        <v>117</v>
      </c>
      <c r="B56" t="str">
        <f t="shared" si="0"/>
        <v xml:space="preserve">                    p_paddr_117              : r_reg_readdata &lt;= {8'd0,sr_paddr_dat[117]};</v>
      </c>
    </row>
    <row r="57" spans="1:2" x14ac:dyDescent="0.3">
      <c r="A57">
        <v>118</v>
      </c>
      <c r="B57" t="str">
        <f t="shared" si="0"/>
        <v xml:space="preserve">                    p_paddr_118              : r_reg_readdata &lt;= {8'd0,sr_paddr_dat[118]};</v>
      </c>
    </row>
    <row r="58" spans="1:2" x14ac:dyDescent="0.3">
      <c r="A58">
        <v>119</v>
      </c>
      <c r="B58" t="str">
        <f t="shared" si="0"/>
        <v xml:space="preserve">                    p_paddr_119              : r_reg_readdata &lt;= {8'd0,sr_paddr_dat[119]};</v>
      </c>
    </row>
    <row r="59" spans="1:2" x14ac:dyDescent="0.3">
      <c r="A59">
        <v>120</v>
      </c>
      <c r="B59" t="str">
        <f t="shared" si="0"/>
        <v xml:space="preserve">                    p_paddr_120              : r_reg_readdata &lt;= {8'd0,sr_paddr_dat[120]};</v>
      </c>
    </row>
    <row r="60" spans="1:2" x14ac:dyDescent="0.3">
      <c r="A60">
        <v>121</v>
      </c>
      <c r="B60" t="str">
        <f t="shared" si="0"/>
        <v xml:space="preserve">                    p_paddr_121              : r_reg_readdata &lt;= {8'd0,sr_paddr_dat[121]};</v>
      </c>
    </row>
    <row r="61" spans="1:2" x14ac:dyDescent="0.3">
      <c r="A61">
        <v>122</v>
      </c>
      <c r="B61" t="str">
        <f t="shared" si="0"/>
        <v xml:space="preserve">                    p_paddr_122              : r_reg_readdata &lt;= {8'd0,sr_paddr_dat[122]};</v>
      </c>
    </row>
    <row r="62" spans="1:2" x14ac:dyDescent="0.3">
      <c r="A62">
        <v>123</v>
      </c>
      <c r="B62" t="str">
        <f t="shared" si="0"/>
        <v xml:space="preserve">                    p_paddr_123              : r_reg_readdata &lt;= {8'd0,sr_paddr_dat[123]};</v>
      </c>
    </row>
    <row r="63" spans="1:2" x14ac:dyDescent="0.3">
      <c r="A63">
        <v>124</v>
      </c>
      <c r="B63" t="str">
        <f t="shared" ref="B63:B126" si="1">"                    p_paddr_"&amp;A63&amp;"              : r_reg_readdata &lt;= {8'd0,sr_paddr_dat["&amp;A63&amp;"]};"</f>
        <v xml:space="preserve">                    p_paddr_124              : r_reg_readdata &lt;= {8'd0,sr_paddr_dat[124]};</v>
      </c>
    </row>
    <row r="64" spans="1:2" x14ac:dyDescent="0.3">
      <c r="A64">
        <v>125</v>
      </c>
      <c r="B64" t="str">
        <f t="shared" si="1"/>
        <v xml:space="preserve">                    p_paddr_125              : r_reg_readdata &lt;= {8'd0,sr_paddr_dat[125]};</v>
      </c>
    </row>
    <row r="65" spans="1:2" x14ac:dyDescent="0.3">
      <c r="A65">
        <v>126</v>
      </c>
      <c r="B65" t="str">
        <f t="shared" si="1"/>
        <v xml:space="preserve">                    p_paddr_126              : r_reg_readdata &lt;= {8'd0,sr_paddr_dat[126]};</v>
      </c>
    </row>
    <row r="66" spans="1:2" x14ac:dyDescent="0.3">
      <c r="A66">
        <v>127</v>
      </c>
      <c r="B66" t="str">
        <f t="shared" si="1"/>
        <v xml:space="preserve">                    p_paddr_127              : r_reg_readdata &lt;= {8'd0,sr_paddr_dat[127]};</v>
      </c>
    </row>
    <row r="67" spans="1:2" x14ac:dyDescent="0.3">
      <c r="A67">
        <v>128</v>
      </c>
      <c r="B67" t="str">
        <f t="shared" si="1"/>
        <v xml:space="preserve">                    p_paddr_128              : r_reg_readdata &lt;= {8'd0,sr_paddr_dat[128]};</v>
      </c>
    </row>
    <row r="68" spans="1:2" x14ac:dyDescent="0.3">
      <c r="A68">
        <v>129</v>
      </c>
      <c r="B68" t="str">
        <f t="shared" si="1"/>
        <v xml:space="preserve">                    p_paddr_129              : r_reg_readdata &lt;= {8'd0,sr_paddr_dat[129]};</v>
      </c>
    </row>
    <row r="69" spans="1:2" x14ac:dyDescent="0.3">
      <c r="A69">
        <v>130</v>
      </c>
      <c r="B69" t="str">
        <f t="shared" si="1"/>
        <v xml:space="preserve">                    p_paddr_130              : r_reg_readdata &lt;= {8'd0,sr_paddr_dat[130]};</v>
      </c>
    </row>
    <row r="70" spans="1:2" x14ac:dyDescent="0.3">
      <c r="A70">
        <v>131</v>
      </c>
      <c r="B70" t="str">
        <f t="shared" si="1"/>
        <v xml:space="preserve">                    p_paddr_131              : r_reg_readdata &lt;= {8'd0,sr_paddr_dat[131]};</v>
      </c>
    </row>
    <row r="71" spans="1:2" x14ac:dyDescent="0.3">
      <c r="A71">
        <v>132</v>
      </c>
      <c r="B71" t="str">
        <f t="shared" si="1"/>
        <v xml:space="preserve">                    p_paddr_132              : r_reg_readdata &lt;= {8'd0,sr_paddr_dat[132]};</v>
      </c>
    </row>
    <row r="72" spans="1:2" x14ac:dyDescent="0.3">
      <c r="A72">
        <v>133</v>
      </c>
      <c r="B72" t="str">
        <f t="shared" si="1"/>
        <v xml:space="preserve">                    p_paddr_133              : r_reg_readdata &lt;= {8'd0,sr_paddr_dat[133]};</v>
      </c>
    </row>
    <row r="73" spans="1:2" x14ac:dyDescent="0.3">
      <c r="A73">
        <v>134</v>
      </c>
      <c r="B73" t="str">
        <f t="shared" si="1"/>
        <v xml:space="preserve">                    p_paddr_134              : r_reg_readdata &lt;= {8'd0,sr_paddr_dat[134]};</v>
      </c>
    </row>
    <row r="74" spans="1:2" x14ac:dyDescent="0.3">
      <c r="A74">
        <v>135</v>
      </c>
      <c r="B74" t="str">
        <f t="shared" si="1"/>
        <v xml:space="preserve">                    p_paddr_135              : r_reg_readdata &lt;= {8'd0,sr_paddr_dat[135]};</v>
      </c>
    </row>
    <row r="75" spans="1:2" x14ac:dyDescent="0.3">
      <c r="A75">
        <v>136</v>
      </c>
      <c r="B75" t="str">
        <f t="shared" si="1"/>
        <v xml:space="preserve">                    p_paddr_136              : r_reg_readdata &lt;= {8'd0,sr_paddr_dat[136]};</v>
      </c>
    </row>
    <row r="76" spans="1:2" x14ac:dyDescent="0.3">
      <c r="A76">
        <v>137</v>
      </c>
      <c r="B76" t="str">
        <f t="shared" si="1"/>
        <v xml:space="preserve">                    p_paddr_137              : r_reg_readdata &lt;= {8'd0,sr_paddr_dat[137]};</v>
      </c>
    </row>
    <row r="77" spans="1:2" x14ac:dyDescent="0.3">
      <c r="A77">
        <v>138</v>
      </c>
      <c r="B77" t="str">
        <f t="shared" si="1"/>
        <v xml:space="preserve">                    p_paddr_138              : r_reg_readdata &lt;= {8'd0,sr_paddr_dat[138]};</v>
      </c>
    </row>
    <row r="78" spans="1:2" x14ac:dyDescent="0.3">
      <c r="A78">
        <v>139</v>
      </c>
      <c r="B78" t="str">
        <f t="shared" si="1"/>
        <v xml:space="preserve">                    p_paddr_139              : r_reg_readdata &lt;= {8'd0,sr_paddr_dat[139]};</v>
      </c>
    </row>
    <row r="79" spans="1:2" x14ac:dyDescent="0.3">
      <c r="A79">
        <v>140</v>
      </c>
      <c r="B79" t="str">
        <f t="shared" si="1"/>
        <v xml:space="preserve">                    p_paddr_140              : r_reg_readdata &lt;= {8'd0,sr_paddr_dat[140]};</v>
      </c>
    </row>
    <row r="80" spans="1:2" x14ac:dyDescent="0.3">
      <c r="A80">
        <v>141</v>
      </c>
      <c r="B80" t="str">
        <f t="shared" si="1"/>
        <v xml:space="preserve">                    p_paddr_141              : r_reg_readdata &lt;= {8'd0,sr_paddr_dat[141]};</v>
      </c>
    </row>
    <row r="81" spans="1:2" x14ac:dyDescent="0.3">
      <c r="A81">
        <v>142</v>
      </c>
      <c r="B81" t="str">
        <f t="shared" si="1"/>
        <v xml:space="preserve">                    p_paddr_142              : r_reg_readdata &lt;= {8'd0,sr_paddr_dat[142]};</v>
      </c>
    </row>
    <row r="82" spans="1:2" x14ac:dyDescent="0.3">
      <c r="A82">
        <v>143</v>
      </c>
      <c r="B82" t="str">
        <f t="shared" si="1"/>
        <v xml:space="preserve">                    p_paddr_143              : r_reg_readdata &lt;= {8'd0,sr_paddr_dat[143]};</v>
      </c>
    </row>
    <row r="83" spans="1:2" x14ac:dyDescent="0.3">
      <c r="A83">
        <v>144</v>
      </c>
      <c r="B83" t="str">
        <f t="shared" si="1"/>
        <v xml:space="preserve">                    p_paddr_144              : r_reg_readdata &lt;= {8'd0,sr_paddr_dat[144]};</v>
      </c>
    </row>
    <row r="84" spans="1:2" x14ac:dyDescent="0.3">
      <c r="A84">
        <v>145</v>
      </c>
      <c r="B84" t="str">
        <f t="shared" si="1"/>
        <v xml:space="preserve">                    p_paddr_145              : r_reg_readdata &lt;= {8'd0,sr_paddr_dat[145]};</v>
      </c>
    </row>
    <row r="85" spans="1:2" x14ac:dyDescent="0.3">
      <c r="A85">
        <v>146</v>
      </c>
      <c r="B85" t="str">
        <f t="shared" si="1"/>
        <v xml:space="preserve">                    p_paddr_146              : r_reg_readdata &lt;= {8'd0,sr_paddr_dat[146]};</v>
      </c>
    </row>
    <row r="86" spans="1:2" x14ac:dyDescent="0.3">
      <c r="A86">
        <v>147</v>
      </c>
      <c r="B86" t="str">
        <f t="shared" si="1"/>
        <v xml:space="preserve">                    p_paddr_147              : r_reg_readdata &lt;= {8'd0,sr_paddr_dat[147]};</v>
      </c>
    </row>
    <row r="87" spans="1:2" x14ac:dyDescent="0.3">
      <c r="A87">
        <v>148</v>
      </c>
      <c r="B87" t="str">
        <f t="shared" si="1"/>
        <v xml:space="preserve">                    p_paddr_148              : r_reg_readdata &lt;= {8'd0,sr_paddr_dat[148]};</v>
      </c>
    </row>
    <row r="88" spans="1:2" x14ac:dyDescent="0.3">
      <c r="A88">
        <v>149</v>
      </c>
      <c r="B88" t="str">
        <f t="shared" si="1"/>
        <v xml:space="preserve">                    p_paddr_149              : r_reg_readdata &lt;= {8'd0,sr_paddr_dat[149]};</v>
      </c>
    </row>
    <row r="89" spans="1:2" x14ac:dyDescent="0.3">
      <c r="A89">
        <v>150</v>
      </c>
      <c r="B89" t="str">
        <f t="shared" si="1"/>
        <v xml:space="preserve">                    p_paddr_150              : r_reg_readdata &lt;= {8'd0,sr_paddr_dat[150]};</v>
      </c>
    </row>
    <row r="90" spans="1:2" x14ac:dyDescent="0.3">
      <c r="A90">
        <v>151</v>
      </c>
      <c r="B90" t="str">
        <f t="shared" si="1"/>
        <v xml:space="preserve">                    p_paddr_151              : r_reg_readdata &lt;= {8'd0,sr_paddr_dat[151]};</v>
      </c>
    </row>
    <row r="91" spans="1:2" x14ac:dyDescent="0.3">
      <c r="A91">
        <v>152</v>
      </c>
      <c r="B91" t="str">
        <f t="shared" si="1"/>
        <v xml:space="preserve">                    p_paddr_152              : r_reg_readdata &lt;= {8'd0,sr_paddr_dat[152]};</v>
      </c>
    </row>
    <row r="92" spans="1:2" x14ac:dyDescent="0.3">
      <c r="A92">
        <v>153</v>
      </c>
      <c r="B92" t="str">
        <f t="shared" si="1"/>
        <v xml:space="preserve">                    p_paddr_153              : r_reg_readdata &lt;= {8'd0,sr_paddr_dat[153]};</v>
      </c>
    </row>
    <row r="93" spans="1:2" x14ac:dyDescent="0.3">
      <c r="A93">
        <v>154</v>
      </c>
      <c r="B93" t="str">
        <f t="shared" si="1"/>
        <v xml:space="preserve">                    p_paddr_154              : r_reg_readdata &lt;= {8'd0,sr_paddr_dat[154]};</v>
      </c>
    </row>
    <row r="94" spans="1:2" x14ac:dyDescent="0.3">
      <c r="A94">
        <v>155</v>
      </c>
      <c r="B94" t="str">
        <f t="shared" si="1"/>
        <v xml:space="preserve">                    p_paddr_155              : r_reg_readdata &lt;= {8'd0,sr_paddr_dat[155]};</v>
      </c>
    </row>
    <row r="95" spans="1:2" x14ac:dyDescent="0.3">
      <c r="A95">
        <v>156</v>
      </c>
      <c r="B95" t="str">
        <f t="shared" si="1"/>
        <v xml:space="preserve">                    p_paddr_156              : r_reg_readdata &lt;= {8'd0,sr_paddr_dat[156]};</v>
      </c>
    </row>
    <row r="96" spans="1:2" x14ac:dyDescent="0.3">
      <c r="A96">
        <v>157</v>
      </c>
      <c r="B96" t="str">
        <f t="shared" si="1"/>
        <v xml:space="preserve">                    p_paddr_157              : r_reg_readdata &lt;= {8'd0,sr_paddr_dat[157]};</v>
      </c>
    </row>
    <row r="97" spans="1:2" x14ac:dyDescent="0.3">
      <c r="A97">
        <v>158</v>
      </c>
      <c r="B97" t="str">
        <f t="shared" si="1"/>
        <v xml:space="preserve">                    p_paddr_158              : r_reg_readdata &lt;= {8'd0,sr_paddr_dat[158]};</v>
      </c>
    </row>
    <row r="98" spans="1:2" x14ac:dyDescent="0.3">
      <c r="A98">
        <v>159</v>
      </c>
      <c r="B98" t="str">
        <f t="shared" si="1"/>
        <v xml:space="preserve">                    p_paddr_159              : r_reg_readdata &lt;= {8'd0,sr_paddr_dat[159]};</v>
      </c>
    </row>
    <row r="99" spans="1:2" x14ac:dyDescent="0.3">
      <c r="A99">
        <v>160</v>
      </c>
      <c r="B99" t="str">
        <f t="shared" si="1"/>
        <v xml:space="preserve">                    p_paddr_160              : r_reg_readdata &lt;= {8'd0,sr_paddr_dat[160]};</v>
      </c>
    </row>
    <row r="100" spans="1:2" x14ac:dyDescent="0.3">
      <c r="A100">
        <v>161</v>
      </c>
      <c r="B100" t="str">
        <f t="shared" si="1"/>
        <v xml:space="preserve">                    p_paddr_161              : r_reg_readdata &lt;= {8'd0,sr_paddr_dat[161]};</v>
      </c>
    </row>
    <row r="101" spans="1:2" x14ac:dyDescent="0.3">
      <c r="A101">
        <v>162</v>
      </c>
      <c r="B101" t="str">
        <f t="shared" si="1"/>
        <v xml:space="preserve">                    p_paddr_162              : r_reg_readdata &lt;= {8'd0,sr_paddr_dat[162]};</v>
      </c>
    </row>
    <row r="102" spans="1:2" x14ac:dyDescent="0.3">
      <c r="A102">
        <v>163</v>
      </c>
      <c r="B102" t="str">
        <f t="shared" si="1"/>
        <v xml:space="preserve">                    p_paddr_163              : r_reg_readdata &lt;= {8'd0,sr_paddr_dat[163]};</v>
      </c>
    </row>
    <row r="103" spans="1:2" x14ac:dyDescent="0.3">
      <c r="A103">
        <v>164</v>
      </c>
      <c r="B103" t="str">
        <f t="shared" si="1"/>
        <v xml:space="preserve">                    p_paddr_164              : r_reg_readdata &lt;= {8'd0,sr_paddr_dat[164]};</v>
      </c>
    </row>
    <row r="104" spans="1:2" x14ac:dyDescent="0.3">
      <c r="A104">
        <v>165</v>
      </c>
      <c r="B104" t="str">
        <f t="shared" si="1"/>
        <v xml:space="preserve">                    p_paddr_165              : r_reg_readdata &lt;= {8'd0,sr_paddr_dat[165]};</v>
      </c>
    </row>
    <row r="105" spans="1:2" x14ac:dyDescent="0.3">
      <c r="A105">
        <v>166</v>
      </c>
      <c r="B105" t="str">
        <f t="shared" si="1"/>
        <v xml:space="preserve">                    p_paddr_166              : r_reg_readdata &lt;= {8'd0,sr_paddr_dat[166]};</v>
      </c>
    </row>
    <row r="106" spans="1:2" x14ac:dyDescent="0.3">
      <c r="A106">
        <v>167</v>
      </c>
      <c r="B106" t="str">
        <f t="shared" si="1"/>
        <v xml:space="preserve">                    p_paddr_167              : r_reg_readdata &lt;= {8'd0,sr_paddr_dat[167]};</v>
      </c>
    </row>
    <row r="107" spans="1:2" x14ac:dyDescent="0.3">
      <c r="A107">
        <v>168</v>
      </c>
      <c r="B107" t="str">
        <f t="shared" si="1"/>
        <v xml:space="preserve">                    p_paddr_168              : r_reg_readdata &lt;= {8'd0,sr_paddr_dat[168]};</v>
      </c>
    </row>
    <row r="108" spans="1:2" x14ac:dyDescent="0.3">
      <c r="A108">
        <v>169</v>
      </c>
      <c r="B108" t="str">
        <f t="shared" si="1"/>
        <v xml:space="preserve">                    p_paddr_169              : r_reg_readdata &lt;= {8'd0,sr_paddr_dat[169]};</v>
      </c>
    </row>
    <row r="109" spans="1:2" x14ac:dyDescent="0.3">
      <c r="A109">
        <v>170</v>
      </c>
      <c r="B109" t="str">
        <f t="shared" si="1"/>
        <v xml:space="preserve">                    p_paddr_170              : r_reg_readdata &lt;= {8'd0,sr_paddr_dat[170]};</v>
      </c>
    </row>
    <row r="110" spans="1:2" x14ac:dyDescent="0.3">
      <c r="A110">
        <v>171</v>
      </c>
      <c r="B110" t="str">
        <f t="shared" si="1"/>
        <v xml:space="preserve">                    p_paddr_171              : r_reg_readdata &lt;= {8'd0,sr_paddr_dat[171]};</v>
      </c>
    </row>
    <row r="111" spans="1:2" x14ac:dyDescent="0.3">
      <c r="A111">
        <v>172</v>
      </c>
      <c r="B111" t="str">
        <f t="shared" si="1"/>
        <v xml:space="preserve">                    p_paddr_172              : r_reg_readdata &lt;= {8'd0,sr_paddr_dat[172]};</v>
      </c>
    </row>
    <row r="112" spans="1:2" x14ac:dyDescent="0.3">
      <c r="A112">
        <v>173</v>
      </c>
      <c r="B112" t="str">
        <f t="shared" si="1"/>
        <v xml:space="preserve">                    p_paddr_173              : r_reg_readdata &lt;= {8'd0,sr_paddr_dat[173]};</v>
      </c>
    </row>
    <row r="113" spans="1:2" x14ac:dyDescent="0.3">
      <c r="A113">
        <v>174</v>
      </c>
      <c r="B113" t="str">
        <f t="shared" si="1"/>
        <v xml:space="preserve">                    p_paddr_174              : r_reg_readdata &lt;= {8'd0,sr_paddr_dat[174]};</v>
      </c>
    </row>
    <row r="114" spans="1:2" x14ac:dyDescent="0.3">
      <c r="A114">
        <v>175</v>
      </c>
      <c r="B114" t="str">
        <f t="shared" si="1"/>
        <v xml:space="preserve">                    p_paddr_175              : r_reg_readdata &lt;= {8'd0,sr_paddr_dat[175]};</v>
      </c>
    </row>
    <row r="115" spans="1:2" x14ac:dyDescent="0.3">
      <c r="A115">
        <v>176</v>
      </c>
      <c r="B115" t="str">
        <f t="shared" si="1"/>
        <v xml:space="preserve">                    p_paddr_176              : r_reg_readdata &lt;= {8'd0,sr_paddr_dat[176]};</v>
      </c>
    </row>
    <row r="116" spans="1:2" x14ac:dyDescent="0.3">
      <c r="A116">
        <v>177</v>
      </c>
      <c r="B116" t="str">
        <f t="shared" si="1"/>
        <v xml:space="preserve">                    p_paddr_177              : r_reg_readdata &lt;= {8'd0,sr_paddr_dat[177]};</v>
      </c>
    </row>
    <row r="117" spans="1:2" x14ac:dyDescent="0.3">
      <c r="A117">
        <v>178</v>
      </c>
      <c r="B117" t="str">
        <f t="shared" si="1"/>
        <v xml:space="preserve">                    p_paddr_178              : r_reg_readdata &lt;= {8'd0,sr_paddr_dat[178]};</v>
      </c>
    </row>
    <row r="118" spans="1:2" x14ac:dyDescent="0.3">
      <c r="A118">
        <v>179</v>
      </c>
      <c r="B118" t="str">
        <f t="shared" si="1"/>
        <v xml:space="preserve">                    p_paddr_179              : r_reg_readdata &lt;= {8'd0,sr_paddr_dat[179]};</v>
      </c>
    </row>
    <row r="119" spans="1:2" x14ac:dyDescent="0.3">
      <c r="A119">
        <v>180</v>
      </c>
      <c r="B119" t="str">
        <f t="shared" si="1"/>
        <v xml:space="preserve">                    p_paddr_180              : r_reg_readdata &lt;= {8'd0,sr_paddr_dat[180]};</v>
      </c>
    </row>
    <row r="120" spans="1:2" x14ac:dyDescent="0.3">
      <c r="A120">
        <v>181</v>
      </c>
      <c r="B120" t="str">
        <f t="shared" si="1"/>
        <v xml:space="preserve">                    p_paddr_181              : r_reg_readdata &lt;= {8'd0,sr_paddr_dat[181]};</v>
      </c>
    </row>
    <row r="121" spans="1:2" x14ac:dyDescent="0.3">
      <c r="A121">
        <v>182</v>
      </c>
      <c r="B121" t="str">
        <f t="shared" si="1"/>
        <v xml:space="preserve">                    p_paddr_182              : r_reg_readdata &lt;= {8'd0,sr_paddr_dat[182]};</v>
      </c>
    </row>
    <row r="122" spans="1:2" x14ac:dyDescent="0.3">
      <c r="A122">
        <v>183</v>
      </c>
      <c r="B122" t="str">
        <f t="shared" si="1"/>
        <v xml:space="preserve">                    p_paddr_183              : r_reg_readdata &lt;= {8'd0,sr_paddr_dat[183]};</v>
      </c>
    </row>
    <row r="123" spans="1:2" x14ac:dyDescent="0.3">
      <c r="A123">
        <v>184</v>
      </c>
      <c r="B123" t="str">
        <f t="shared" si="1"/>
        <v xml:space="preserve">                    p_paddr_184              : r_reg_readdata &lt;= {8'd0,sr_paddr_dat[184]};</v>
      </c>
    </row>
    <row r="124" spans="1:2" x14ac:dyDescent="0.3">
      <c r="A124">
        <v>185</v>
      </c>
      <c r="B124" t="str">
        <f t="shared" si="1"/>
        <v xml:space="preserve">                    p_paddr_185              : r_reg_readdata &lt;= {8'd0,sr_paddr_dat[185]};</v>
      </c>
    </row>
    <row r="125" spans="1:2" x14ac:dyDescent="0.3">
      <c r="A125">
        <v>186</v>
      </c>
      <c r="B125" t="str">
        <f t="shared" si="1"/>
        <v xml:space="preserve">                    p_paddr_186              : r_reg_readdata &lt;= {8'd0,sr_paddr_dat[186]};</v>
      </c>
    </row>
    <row r="126" spans="1:2" x14ac:dyDescent="0.3">
      <c r="A126">
        <v>187</v>
      </c>
      <c r="B126" t="str">
        <f t="shared" si="1"/>
        <v xml:space="preserve">                    p_paddr_187              : r_reg_readdata &lt;= {8'd0,sr_paddr_dat[187]};</v>
      </c>
    </row>
    <row r="127" spans="1:2" x14ac:dyDescent="0.3">
      <c r="A127">
        <v>188</v>
      </c>
      <c r="B127" t="str">
        <f t="shared" ref="B127:B190" si="2">"                    p_paddr_"&amp;A127&amp;"              : r_reg_readdata &lt;= {8'd0,sr_paddr_dat["&amp;A127&amp;"]};"</f>
        <v xml:space="preserve">                    p_paddr_188              : r_reg_readdata &lt;= {8'd0,sr_paddr_dat[188]};</v>
      </c>
    </row>
    <row r="128" spans="1:2" x14ac:dyDescent="0.3">
      <c r="A128">
        <v>189</v>
      </c>
      <c r="B128" t="str">
        <f t="shared" si="2"/>
        <v xml:space="preserve">                    p_paddr_189              : r_reg_readdata &lt;= {8'd0,sr_paddr_dat[189]};</v>
      </c>
    </row>
    <row r="129" spans="1:2" x14ac:dyDescent="0.3">
      <c r="A129">
        <v>190</v>
      </c>
      <c r="B129" t="str">
        <f t="shared" si="2"/>
        <v xml:space="preserve">                    p_paddr_190              : r_reg_readdata &lt;= {8'd0,sr_paddr_dat[190]};</v>
      </c>
    </row>
    <row r="130" spans="1:2" x14ac:dyDescent="0.3">
      <c r="A130">
        <v>191</v>
      </c>
      <c r="B130" t="str">
        <f t="shared" si="2"/>
        <v xml:space="preserve">                    p_paddr_191              : r_reg_readdata &lt;= {8'd0,sr_paddr_dat[191]};</v>
      </c>
    </row>
    <row r="131" spans="1:2" x14ac:dyDescent="0.3">
      <c r="A131">
        <v>192</v>
      </c>
      <c r="B131" t="str">
        <f t="shared" si="2"/>
        <v xml:space="preserve">                    p_paddr_192              : r_reg_readdata &lt;= {8'd0,sr_paddr_dat[192]};</v>
      </c>
    </row>
    <row r="132" spans="1:2" x14ac:dyDescent="0.3">
      <c r="A132">
        <v>193</v>
      </c>
      <c r="B132" t="str">
        <f t="shared" si="2"/>
        <v xml:space="preserve">                    p_paddr_193              : r_reg_readdata &lt;= {8'd0,sr_paddr_dat[193]};</v>
      </c>
    </row>
    <row r="133" spans="1:2" x14ac:dyDescent="0.3">
      <c r="A133">
        <v>194</v>
      </c>
      <c r="B133" t="str">
        <f t="shared" si="2"/>
        <v xml:space="preserve">                    p_paddr_194              : r_reg_readdata &lt;= {8'd0,sr_paddr_dat[194]};</v>
      </c>
    </row>
    <row r="134" spans="1:2" x14ac:dyDescent="0.3">
      <c r="A134">
        <v>195</v>
      </c>
      <c r="B134" t="str">
        <f t="shared" si="2"/>
        <v xml:space="preserve">                    p_paddr_195              : r_reg_readdata &lt;= {8'd0,sr_paddr_dat[195]};</v>
      </c>
    </row>
    <row r="135" spans="1:2" x14ac:dyDescent="0.3">
      <c r="A135">
        <v>196</v>
      </c>
      <c r="B135" t="str">
        <f t="shared" si="2"/>
        <v xml:space="preserve">                    p_paddr_196              : r_reg_readdata &lt;= {8'd0,sr_paddr_dat[196]};</v>
      </c>
    </row>
    <row r="136" spans="1:2" x14ac:dyDescent="0.3">
      <c r="A136">
        <v>197</v>
      </c>
      <c r="B136" t="str">
        <f t="shared" si="2"/>
        <v xml:space="preserve">                    p_paddr_197              : r_reg_readdata &lt;= {8'd0,sr_paddr_dat[197]};</v>
      </c>
    </row>
    <row r="137" spans="1:2" x14ac:dyDescent="0.3">
      <c r="A137">
        <v>198</v>
      </c>
      <c r="B137" t="str">
        <f t="shared" si="2"/>
        <v xml:space="preserve">                    p_paddr_198              : r_reg_readdata &lt;= {8'd0,sr_paddr_dat[198]};</v>
      </c>
    </row>
    <row r="138" spans="1:2" x14ac:dyDescent="0.3">
      <c r="A138">
        <v>199</v>
      </c>
      <c r="B138" t="str">
        <f t="shared" si="2"/>
        <v xml:space="preserve">                    p_paddr_199              : r_reg_readdata &lt;= {8'd0,sr_paddr_dat[199]};</v>
      </c>
    </row>
    <row r="139" spans="1:2" x14ac:dyDescent="0.3">
      <c r="A139">
        <v>200</v>
      </c>
      <c r="B139" t="str">
        <f t="shared" si="2"/>
        <v xml:space="preserve">                    p_paddr_200              : r_reg_readdata &lt;= {8'd0,sr_paddr_dat[200]};</v>
      </c>
    </row>
    <row r="140" spans="1:2" x14ac:dyDescent="0.3">
      <c r="A140">
        <v>201</v>
      </c>
      <c r="B140" t="str">
        <f t="shared" si="2"/>
        <v xml:space="preserve">                    p_paddr_201              : r_reg_readdata &lt;= {8'd0,sr_paddr_dat[201]};</v>
      </c>
    </row>
    <row r="141" spans="1:2" x14ac:dyDescent="0.3">
      <c r="A141">
        <v>202</v>
      </c>
      <c r="B141" t="str">
        <f t="shared" si="2"/>
        <v xml:space="preserve">                    p_paddr_202              : r_reg_readdata &lt;= {8'd0,sr_paddr_dat[202]};</v>
      </c>
    </row>
    <row r="142" spans="1:2" x14ac:dyDescent="0.3">
      <c r="A142">
        <v>203</v>
      </c>
      <c r="B142" t="str">
        <f t="shared" si="2"/>
        <v xml:space="preserve">                    p_paddr_203              : r_reg_readdata &lt;= {8'd0,sr_paddr_dat[203]};</v>
      </c>
    </row>
    <row r="143" spans="1:2" x14ac:dyDescent="0.3">
      <c r="A143">
        <v>204</v>
      </c>
      <c r="B143" t="str">
        <f t="shared" si="2"/>
        <v xml:space="preserve">                    p_paddr_204              : r_reg_readdata &lt;= {8'd0,sr_paddr_dat[204]};</v>
      </c>
    </row>
    <row r="144" spans="1:2" x14ac:dyDescent="0.3">
      <c r="A144">
        <v>205</v>
      </c>
      <c r="B144" t="str">
        <f t="shared" si="2"/>
        <v xml:space="preserve">                    p_paddr_205              : r_reg_readdata &lt;= {8'd0,sr_paddr_dat[205]};</v>
      </c>
    </row>
    <row r="145" spans="1:2" x14ac:dyDescent="0.3">
      <c r="A145">
        <v>206</v>
      </c>
      <c r="B145" t="str">
        <f t="shared" si="2"/>
        <v xml:space="preserve">                    p_paddr_206              : r_reg_readdata &lt;= {8'd0,sr_paddr_dat[206]};</v>
      </c>
    </row>
    <row r="146" spans="1:2" x14ac:dyDescent="0.3">
      <c r="A146">
        <v>207</v>
      </c>
      <c r="B146" t="str">
        <f t="shared" si="2"/>
        <v xml:space="preserve">                    p_paddr_207              : r_reg_readdata &lt;= {8'd0,sr_paddr_dat[207]};</v>
      </c>
    </row>
    <row r="147" spans="1:2" x14ac:dyDescent="0.3">
      <c r="A147">
        <v>208</v>
      </c>
      <c r="B147" t="str">
        <f t="shared" si="2"/>
        <v xml:space="preserve">                    p_paddr_208              : r_reg_readdata &lt;= {8'd0,sr_paddr_dat[208]};</v>
      </c>
    </row>
    <row r="148" spans="1:2" x14ac:dyDescent="0.3">
      <c r="A148">
        <v>209</v>
      </c>
      <c r="B148" t="str">
        <f t="shared" si="2"/>
        <v xml:space="preserve">                    p_paddr_209              : r_reg_readdata &lt;= {8'd0,sr_paddr_dat[209]};</v>
      </c>
    </row>
    <row r="149" spans="1:2" x14ac:dyDescent="0.3">
      <c r="A149">
        <v>210</v>
      </c>
      <c r="B149" t="str">
        <f t="shared" si="2"/>
        <v xml:space="preserve">                    p_paddr_210              : r_reg_readdata &lt;= {8'd0,sr_paddr_dat[210]};</v>
      </c>
    </row>
    <row r="150" spans="1:2" x14ac:dyDescent="0.3">
      <c r="A150">
        <v>211</v>
      </c>
      <c r="B150" t="str">
        <f t="shared" si="2"/>
        <v xml:space="preserve">                    p_paddr_211              : r_reg_readdata &lt;= {8'd0,sr_paddr_dat[211]};</v>
      </c>
    </row>
    <row r="151" spans="1:2" x14ac:dyDescent="0.3">
      <c r="A151">
        <v>212</v>
      </c>
      <c r="B151" t="str">
        <f t="shared" si="2"/>
        <v xml:space="preserve">                    p_paddr_212              : r_reg_readdata &lt;= {8'd0,sr_paddr_dat[212]};</v>
      </c>
    </row>
    <row r="152" spans="1:2" x14ac:dyDescent="0.3">
      <c r="A152">
        <v>213</v>
      </c>
      <c r="B152" t="str">
        <f t="shared" si="2"/>
        <v xml:space="preserve">                    p_paddr_213              : r_reg_readdata &lt;= {8'd0,sr_paddr_dat[213]};</v>
      </c>
    </row>
    <row r="153" spans="1:2" x14ac:dyDescent="0.3">
      <c r="A153">
        <v>214</v>
      </c>
      <c r="B153" t="str">
        <f t="shared" si="2"/>
        <v xml:space="preserve">                    p_paddr_214              : r_reg_readdata &lt;= {8'd0,sr_paddr_dat[214]};</v>
      </c>
    </row>
    <row r="154" spans="1:2" x14ac:dyDescent="0.3">
      <c r="A154">
        <v>215</v>
      </c>
      <c r="B154" t="str">
        <f t="shared" si="2"/>
        <v xml:space="preserve">                    p_paddr_215              : r_reg_readdata &lt;= {8'd0,sr_paddr_dat[215]};</v>
      </c>
    </row>
    <row r="155" spans="1:2" x14ac:dyDescent="0.3">
      <c r="A155">
        <v>216</v>
      </c>
      <c r="B155" t="str">
        <f t="shared" si="2"/>
        <v xml:space="preserve">                    p_paddr_216              : r_reg_readdata &lt;= {8'd0,sr_paddr_dat[216]};</v>
      </c>
    </row>
    <row r="156" spans="1:2" x14ac:dyDescent="0.3">
      <c r="A156">
        <v>217</v>
      </c>
      <c r="B156" t="str">
        <f t="shared" si="2"/>
        <v xml:space="preserve">                    p_paddr_217              : r_reg_readdata &lt;= {8'd0,sr_paddr_dat[217]};</v>
      </c>
    </row>
    <row r="157" spans="1:2" x14ac:dyDescent="0.3">
      <c r="A157">
        <v>218</v>
      </c>
      <c r="B157" t="str">
        <f t="shared" si="2"/>
        <v xml:space="preserve">                    p_paddr_218              : r_reg_readdata &lt;= {8'd0,sr_paddr_dat[218]};</v>
      </c>
    </row>
    <row r="158" spans="1:2" x14ac:dyDescent="0.3">
      <c r="A158">
        <v>219</v>
      </c>
      <c r="B158" t="str">
        <f t="shared" si="2"/>
        <v xml:space="preserve">                    p_paddr_219              : r_reg_readdata &lt;= {8'd0,sr_paddr_dat[219]};</v>
      </c>
    </row>
    <row r="159" spans="1:2" x14ac:dyDescent="0.3">
      <c r="A159">
        <v>220</v>
      </c>
      <c r="B159" t="str">
        <f t="shared" si="2"/>
        <v xml:space="preserve">                    p_paddr_220              : r_reg_readdata &lt;= {8'd0,sr_paddr_dat[220]};</v>
      </c>
    </row>
    <row r="160" spans="1:2" x14ac:dyDescent="0.3">
      <c r="A160">
        <v>221</v>
      </c>
      <c r="B160" t="str">
        <f t="shared" si="2"/>
        <v xml:space="preserve">                    p_paddr_221              : r_reg_readdata &lt;= {8'd0,sr_paddr_dat[221]};</v>
      </c>
    </row>
    <row r="161" spans="1:2" x14ac:dyDescent="0.3">
      <c r="A161">
        <v>222</v>
      </c>
      <c r="B161" t="str">
        <f t="shared" si="2"/>
        <v xml:space="preserve">                    p_paddr_222              : r_reg_readdata &lt;= {8'd0,sr_paddr_dat[222]};</v>
      </c>
    </row>
    <row r="162" spans="1:2" x14ac:dyDescent="0.3">
      <c r="A162">
        <v>223</v>
      </c>
      <c r="B162" t="str">
        <f t="shared" si="2"/>
        <v xml:space="preserve">                    p_paddr_223              : r_reg_readdata &lt;= {8'd0,sr_paddr_dat[223]};</v>
      </c>
    </row>
    <row r="163" spans="1:2" x14ac:dyDescent="0.3">
      <c r="A163">
        <v>224</v>
      </c>
      <c r="B163" t="str">
        <f t="shared" si="2"/>
        <v xml:space="preserve">                    p_paddr_224              : r_reg_readdata &lt;= {8'd0,sr_paddr_dat[224]};</v>
      </c>
    </row>
    <row r="164" spans="1:2" x14ac:dyDescent="0.3">
      <c r="A164">
        <v>225</v>
      </c>
      <c r="B164" t="str">
        <f t="shared" si="2"/>
        <v xml:space="preserve">                    p_paddr_225              : r_reg_readdata &lt;= {8'd0,sr_paddr_dat[225]};</v>
      </c>
    </row>
    <row r="165" spans="1:2" x14ac:dyDescent="0.3">
      <c r="A165">
        <v>226</v>
      </c>
      <c r="B165" t="str">
        <f t="shared" si="2"/>
        <v xml:space="preserve">                    p_paddr_226              : r_reg_readdata &lt;= {8'd0,sr_paddr_dat[226]};</v>
      </c>
    </row>
    <row r="166" spans="1:2" x14ac:dyDescent="0.3">
      <c r="A166">
        <v>227</v>
      </c>
      <c r="B166" t="str">
        <f t="shared" si="2"/>
        <v xml:space="preserve">                    p_paddr_227              : r_reg_readdata &lt;= {8'd0,sr_paddr_dat[227]};</v>
      </c>
    </row>
    <row r="167" spans="1:2" x14ac:dyDescent="0.3">
      <c r="A167">
        <v>228</v>
      </c>
      <c r="B167" t="str">
        <f t="shared" si="2"/>
        <v xml:space="preserve">                    p_paddr_228              : r_reg_readdata &lt;= {8'd0,sr_paddr_dat[228]};</v>
      </c>
    </row>
    <row r="168" spans="1:2" x14ac:dyDescent="0.3">
      <c r="A168">
        <v>229</v>
      </c>
      <c r="B168" t="str">
        <f t="shared" si="2"/>
        <v xml:space="preserve">                    p_paddr_229              : r_reg_readdata &lt;= {8'd0,sr_paddr_dat[229]};</v>
      </c>
    </row>
    <row r="169" spans="1:2" x14ac:dyDescent="0.3">
      <c r="A169">
        <v>230</v>
      </c>
      <c r="B169" t="str">
        <f t="shared" si="2"/>
        <v xml:space="preserve">                    p_paddr_230              : r_reg_readdata &lt;= {8'd0,sr_paddr_dat[230]};</v>
      </c>
    </row>
    <row r="170" spans="1:2" x14ac:dyDescent="0.3">
      <c r="A170">
        <v>231</v>
      </c>
      <c r="B170" t="str">
        <f t="shared" si="2"/>
        <v xml:space="preserve">                    p_paddr_231              : r_reg_readdata &lt;= {8'd0,sr_paddr_dat[231]};</v>
      </c>
    </row>
    <row r="171" spans="1:2" x14ac:dyDescent="0.3">
      <c r="A171">
        <v>232</v>
      </c>
      <c r="B171" t="str">
        <f t="shared" si="2"/>
        <v xml:space="preserve">                    p_paddr_232              : r_reg_readdata &lt;= {8'd0,sr_paddr_dat[232]};</v>
      </c>
    </row>
    <row r="172" spans="1:2" x14ac:dyDescent="0.3">
      <c r="A172">
        <v>233</v>
      </c>
      <c r="B172" t="str">
        <f t="shared" si="2"/>
        <v xml:space="preserve">                    p_paddr_233              : r_reg_readdata &lt;= {8'd0,sr_paddr_dat[233]};</v>
      </c>
    </row>
    <row r="173" spans="1:2" x14ac:dyDescent="0.3">
      <c r="A173">
        <v>234</v>
      </c>
      <c r="B173" t="str">
        <f t="shared" si="2"/>
        <v xml:space="preserve">                    p_paddr_234              : r_reg_readdata &lt;= {8'd0,sr_paddr_dat[234]};</v>
      </c>
    </row>
    <row r="174" spans="1:2" x14ac:dyDescent="0.3">
      <c r="A174">
        <v>235</v>
      </c>
      <c r="B174" t="str">
        <f t="shared" si="2"/>
        <v xml:space="preserve">                    p_paddr_235              : r_reg_readdata &lt;= {8'd0,sr_paddr_dat[235]};</v>
      </c>
    </row>
    <row r="175" spans="1:2" x14ac:dyDescent="0.3">
      <c r="A175">
        <v>236</v>
      </c>
      <c r="B175" t="str">
        <f t="shared" si="2"/>
        <v xml:space="preserve">                    p_paddr_236              : r_reg_readdata &lt;= {8'd0,sr_paddr_dat[236]};</v>
      </c>
    </row>
    <row r="176" spans="1:2" x14ac:dyDescent="0.3">
      <c r="A176">
        <v>237</v>
      </c>
      <c r="B176" t="str">
        <f t="shared" si="2"/>
        <v xml:space="preserve">                    p_paddr_237              : r_reg_readdata &lt;= {8'd0,sr_paddr_dat[237]};</v>
      </c>
    </row>
    <row r="177" spans="1:2" x14ac:dyDescent="0.3">
      <c r="A177">
        <v>238</v>
      </c>
      <c r="B177" t="str">
        <f t="shared" si="2"/>
        <v xml:space="preserve">                    p_paddr_238              : r_reg_readdata &lt;= {8'd0,sr_paddr_dat[238]};</v>
      </c>
    </row>
    <row r="178" spans="1:2" x14ac:dyDescent="0.3">
      <c r="A178">
        <v>239</v>
      </c>
      <c r="B178" t="str">
        <f t="shared" si="2"/>
        <v xml:space="preserve">                    p_paddr_239              : r_reg_readdata &lt;= {8'd0,sr_paddr_dat[239]};</v>
      </c>
    </row>
    <row r="179" spans="1:2" x14ac:dyDescent="0.3">
      <c r="A179">
        <v>240</v>
      </c>
      <c r="B179" t="str">
        <f t="shared" si="2"/>
        <v xml:space="preserve">                    p_paddr_240              : r_reg_readdata &lt;= {8'd0,sr_paddr_dat[240]};</v>
      </c>
    </row>
    <row r="180" spans="1:2" x14ac:dyDescent="0.3">
      <c r="A180">
        <v>241</v>
      </c>
      <c r="B180" t="str">
        <f t="shared" si="2"/>
        <v xml:space="preserve">                    p_paddr_241              : r_reg_readdata &lt;= {8'd0,sr_paddr_dat[241]};</v>
      </c>
    </row>
    <row r="181" spans="1:2" x14ac:dyDescent="0.3">
      <c r="A181">
        <v>242</v>
      </c>
      <c r="B181" t="str">
        <f t="shared" si="2"/>
        <v xml:space="preserve">                    p_paddr_242              : r_reg_readdata &lt;= {8'd0,sr_paddr_dat[242]};</v>
      </c>
    </row>
    <row r="182" spans="1:2" x14ac:dyDescent="0.3">
      <c r="A182">
        <v>243</v>
      </c>
      <c r="B182" t="str">
        <f t="shared" si="2"/>
        <v xml:space="preserve">                    p_paddr_243              : r_reg_readdata &lt;= {8'd0,sr_paddr_dat[243]};</v>
      </c>
    </row>
    <row r="183" spans="1:2" x14ac:dyDescent="0.3">
      <c r="A183">
        <v>244</v>
      </c>
      <c r="B183" t="str">
        <f t="shared" si="2"/>
        <v xml:space="preserve">                    p_paddr_244              : r_reg_readdata &lt;= {8'd0,sr_paddr_dat[244]};</v>
      </c>
    </row>
    <row r="184" spans="1:2" x14ac:dyDescent="0.3">
      <c r="A184">
        <v>245</v>
      </c>
      <c r="B184" t="str">
        <f t="shared" si="2"/>
        <v xml:space="preserve">                    p_paddr_245              : r_reg_readdata &lt;= {8'd0,sr_paddr_dat[245]};</v>
      </c>
    </row>
    <row r="185" spans="1:2" x14ac:dyDescent="0.3">
      <c r="A185">
        <v>246</v>
      </c>
      <c r="B185" t="str">
        <f t="shared" si="2"/>
        <v xml:space="preserve">                    p_paddr_246              : r_reg_readdata &lt;= {8'd0,sr_paddr_dat[246]};</v>
      </c>
    </row>
    <row r="186" spans="1:2" x14ac:dyDescent="0.3">
      <c r="A186">
        <v>247</v>
      </c>
      <c r="B186" t="str">
        <f t="shared" si="2"/>
        <v xml:space="preserve">                    p_paddr_247              : r_reg_readdata &lt;= {8'd0,sr_paddr_dat[247]};</v>
      </c>
    </row>
    <row r="187" spans="1:2" x14ac:dyDescent="0.3">
      <c r="A187">
        <v>248</v>
      </c>
      <c r="B187" t="str">
        <f t="shared" si="2"/>
        <v xml:space="preserve">                    p_paddr_248              : r_reg_readdata &lt;= {8'd0,sr_paddr_dat[248]};</v>
      </c>
    </row>
    <row r="188" spans="1:2" x14ac:dyDescent="0.3">
      <c r="A188">
        <v>249</v>
      </c>
      <c r="B188" t="str">
        <f t="shared" si="2"/>
        <v xml:space="preserve">                    p_paddr_249              : r_reg_readdata &lt;= {8'd0,sr_paddr_dat[249]};</v>
      </c>
    </row>
    <row r="189" spans="1:2" x14ac:dyDescent="0.3">
      <c r="A189">
        <v>250</v>
      </c>
      <c r="B189" t="str">
        <f t="shared" si="2"/>
        <v xml:space="preserve">                    p_paddr_250              : r_reg_readdata &lt;= {8'd0,sr_paddr_dat[250]};</v>
      </c>
    </row>
    <row r="190" spans="1:2" x14ac:dyDescent="0.3">
      <c r="A190">
        <v>251</v>
      </c>
      <c r="B190" t="str">
        <f t="shared" si="2"/>
        <v xml:space="preserve">                    p_paddr_251              : r_reg_readdata &lt;= {8'd0,sr_paddr_dat[251]};</v>
      </c>
    </row>
    <row r="191" spans="1:2" x14ac:dyDescent="0.3">
      <c r="A191">
        <v>252</v>
      </c>
      <c r="B191" t="str">
        <f t="shared" ref="B191:B254" si="3">"                    p_paddr_"&amp;A191&amp;"              : r_reg_readdata &lt;= {8'd0,sr_paddr_dat["&amp;A191&amp;"]};"</f>
        <v xml:space="preserve">                    p_paddr_252              : r_reg_readdata &lt;= {8'd0,sr_paddr_dat[252]};</v>
      </c>
    </row>
    <row r="192" spans="1:2" x14ac:dyDescent="0.3">
      <c r="A192">
        <v>253</v>
      </c>
      <c r="B192" t="str">
        <f t="shared" si="3"/>
        <v xml:space="preserve">                    p_paddr_253              : r_reg_readdata &lt;= {8'd0,sr_paddr_dat[253]};</v>
      </c>
    </row>
    <row r="193" spans="1:2" x14ac:dyDescent="0.3">
      <c r="A193">
        <v>254</v>
      </c>
      <c r="B193" t="str">
        <f t="shared" si="3"/>
        <v xml:space="preserve">                    p_paddr_254              : r_reg_readdata &lt;= {8'd0,sr_paddr_dat[254]};</v>
      </c>
    </row>
    <row r="194" spans="1:2" x14ac:dyDescent="0.3">
      <c r="A194">
        <v>255</v>
      </c>
      <c r="B194" t="str">
        <f t="shared" si="3"/>
        <v xml:space="preserve">                    p_paddr_255              : r_reg_readdata &lt;= {8'd0,sr_paddr_dat[255]};</v>
      </c>
    </row>
    <row r="195" spans="1:2" x14ac:dyDescent="0.3">
      <c r="A195">
        <v>256</v>
      </c>
      <c r="B195" t="str">
        <f t="shared" si="3"/>
        <v xml:space="preserve">                    p_paddr_256              : r_reg_readdata &lt;= {8'd0,sr_paddr_dat[256]};</v>
      </c>
    </row>
    <row r="196" spans="1:2" x14ac:dyDescent="0.3">
      <c r="A196">
        <v>257</v>
      </c>
      <c r="B196" t="str">
        <f t="shared" si="3"/>
        <v xml:space="preserve">                    p_paddr_257              : r_reg_readdata &lt;= {8'd0,sr_paddr_dat[257]};</v>
      </c>
    </row>
    <row r="197" spans="1:2" x14ac:dyDescent="0.3">
      <c r="A197">
        <v>258</v>
      </c>
      <c r="B197" t="str">
        <f t="shared" si="3"/>
        <v xml:space="preserve">                    p_paddr_258              : r_reg_readdata &lt;= {8'd0,sr_paddr_dat[258]};</v>
      </c>
    </row>
    <row r="198" spans="1:2" x14ac:dyDescent="0.3">
      <c r="A198">
        <v>259</v>
      </c>
      <c r="B198" t="str">
        <f t="shared" si="3"/>
        <v xml:space="preserve">                    p_paddr_259              : r_reg_readdata &lt;= {8'd0,sr_paddr_dat[259]};</v>
      </c>
    </row>
    <row r="199" spans="1:2" x14ac:dyDescent="0.3">
      <c r="A199">
        <v>260</v>
      </c>
      <c r="B199" t="str">
        <f t="shared" si="3"/>
        <v xml:space="preserve">                    p_paddr_260              : r_reg_readdata &lt;= {8'd0,sr_paddr_dat[260]};</v>
      </c>
    </row>
    <row r="200" spans="1:2" x14ac:dyDescent="0.3">
      <c r="A200">
        <v>261</v>
      </c>
      <c r="B200" t="str">
        <f t="shared" si="3"/>
        <v xml:space="preserve">                    p_paddr_261              : r_reg_readdata &lt;= {8'd0,sr_paddr_dat[261]};</v>
      </c>
    </row>
    <row r="201" spans="1:2" x14ac:dyDescent="0.3">
      <c r="A201">
        <v>262</v>
      </c>
      <c r="B201" t="str">
        <f t="shared" si="3"/>
        <v xml:space="preserve">                    p_paddr_262              : r_reg_readdata &lt;= {8'd0,sr_paddr_dat[262]};</v>
      </c>
    </row>
    <row r="202" spans="1:2" x14ac:dyDescent="0.3">
      <c r="A202">
        <v>263</v>
      </c>
      <c r="B202" t="str">
        <f t="shared" si="3"/>
        <v xml:space="preserve">                    p_paddr_263              : r_reg_readdata &lt;= {8'd0,sr_paddr_dat[263]};</v>
      </c>
    </row>
    <row r="203" spans="1:2" x14ac:dyDescent="0.3">
      <c r="A203">
        <v>264</v>
      </c>
      <c r="B203" t="str">
        <f t="shared" si="3"/>
        <v xml:space="preserve">                    p_paddr_264              : r_reg_readdata &lt;= {8'd0,sr_paddr_dat[264]};</v>
      </c>
    </row>
    <row r="204" spans="1:2" x14ac:dyDescent="0.3">
      <c r="A204">
        <v>265</v>
      </c>
      <c r="B204" t="str">
        <f t="shared" si="3"/>
        <v xml:space="preserve">                    p_paddr_265              : r_reg_readdata &lt;= {8'd0,sr_paddr_dat[265]};</v>
      </c>
    </row>
    <row r="205" spans="1:2" x14ac:dyDescent="0.3">
      <c r="A205">
        <v>266</v>
      </c>
      <c r="B205" t="str">
        <f t="shared" si="3"/>
        <v xml:space="preserve">                    p_paddr_266              : r_reg_readdata &lt;= {8'd0,sr_paddr_dat[266]};</v>
      </c>
    </row>
    <row r="206" spans="1:2" x14ac:dyDescent="0.3">
      <c r="A206">
        <v>267</v>
      </c>
      <c r="B206" t="str">
        <f t="shared" si="3"/>
        <v xml:space="preserve">                    p_paddr_267              : r_reg_readdata &lt;= {8'd0,sr_paddr_dat[267]};</v>
      </c>
    </row>
    <row r="207" spans="1:2" x14ac:dyDescent="0.3">
      <c r="A207">
        <v>268</v>
      </c>
      <c r="B207" t="str">
        <f t="shared" si="3"/>
        <v xml:space="preserve">                    p_paddr_268              : r_reg_readdata &lt;= {8'd0,sr_paddr_dat[268]};</v>
      </c>
    </row>
    <row r="208" spans="1:2" x14ac:dyDescent="0.3">
      <c r="A208">
        <v>269</v>
      </c>
      <c r="B208" t="str">
        <f t="shared" si="3"/>
        <v xml:space="preserve">                    p_paddr_269              : r_reg_readdata &lt;= {8'd0,sr_paddr_dat[269]};</v>
      </c>
    </row>
    <row r="209" spans="1:2" x14ac:dyDescent="0.3">
      <c r="A209">
        <v>270</v>
      </c>
      <c r="B209" t="str">
        <f t="shared" si="3"/>
        <v xml:space="preserve">                    p_paddr_270              : r_reg_readdata &lt;= {8'd0,sr_paddr_dat[270]};</v>
      </c>
    </row>
    <row r="210" spans="1:2" x14ac:dyDescent="0.3">
      <c r="A210">
        <v>271</v>
      </c>
      <c r="B210" t="str">
        <f t="shared" si="3"/>
        <v xml:space="preserve">                    p_paddr_271              : r_reg_readdata &lt;= {8'd0,sr_paddr_dat[271]};</v>
      </c>
    </row>
    <row r="211" spans="1:2" x14ac:dyDescent="0.3">
      <c r="A211">
        <v>272</v>
      </c>
      <c r="B211" t="str">
        <f t="shared" si="3"/>
        <v xml:space="preserve">                    p_paddr_272              : r_reg_readdata &lt;= {8'd0,sr_paddr_dat[272]};</v>
      </c>
    </row>
    <row r="212" spans="1:2" x14ac:dyDescent="0.3">
      <c r="A212">
        <v>273</v>
      </c>
      <c r="B212" t="str">
        <f t="shared" si="3"/>
        <v xml:space="preserve">                    p_paddr_273              : r_reg_readdata &lt;= {8'd0,sr_paddr_dat[273]};</v>
      </c>
    </row>
    <row r="213" spans="1:2" x14ac:dyDescent="0.3">
      <c r="A213">
        <v>274</v>
      </c>
      <c r="B213" t="str">
        <f t="shared" si="3"/>
        <v xml:space="preserve">                    p_paddr_274              : r_reg_readdata &lt;= {8'd0,sr_paddr_dat[274]};</v>
      </c>
    </row>
    <row r="214" spans="1:2" x14ac:dyDescent="0.3">
      <c r="A214">
        <v>275</v>
      </c>
      <c r="B214" t="str">
        <f t="shared" si="3"/>
        <v xml:space="preserve">                    p_paddr_275              : r_reg_readdata &lt;= {8'd0,sr_paddr_dat[275]};</v>
      </c>
    </row>
    <row r="215" spans="1:2" x14ac:dyDescent="0.3">
      <c r="A215">
        <v>276</v>
      </c>
      <c r="B215" t="str">
        <f t="shared" si="3"/>
        <v xml:space="preserve">                    p_paddr_276              : r_reg_readdata &lt;= {8'd0,sr_paddr_dat[276]};</v>
      </c>
    </row>
    <row r="216" spans="1:2" x14ac:dyDescent="0.3">
      <c r="A216">
        <v>277</v>
      </c>
      <c r="B216" t="str">
        <f t="shared" si="3"/>
        <v xml:space="preserve">                    p_paddr_277              : r_reg_readdata &lt;= {8'd0,sr_paddr_dat[277]};</v>
      </c>
    </row>
    <row r="217" spans="1:2" x14ac:dyDescent="0.3">
      <c r="A217">
        <v>278</v>
      </c>
      <c r="B217" t="str">
        <f t="shared" si="3"/>
        <v xml:space="preserve">                    p_paddr_278              : r_reg_readdata &lt;= {8'd0,sr_paddr_dat[278]};</v>
      </c>
    </row>
    <row r="218" spans="1:2" x14ac:dyDescent="0.3">
      <c r="A218">
        <v>279</v>
      </c>
      <c r="B218" t="str">
        <f t="shared" si="3"/>
        <v xml:space="preserve">                    p_paddr_279              : r_reg_readdata &lt;= {8'd0,sr_paddr_dat[279]};</v>
      </c>
    </row>
    <row r="219" spans="1:2" x14ac:dyDescent="0.3">
      <c r="A219">
        <v>280</v>
      </c>
      <c r="B219" t="str">
        <f t="shared" si="3"/>
        <v xml:space="preserve">                    p_paddr_280              : r_reg_readdata &lt;= {8'd0,sr_paddr_dat[280]};</v>
      </c>
    </row>
    <row r="220" spans="1:2" x14ac:dyDescent="0.3">
      <c r="A220">
        <v>281</v>
      </c>
      <c r="B220" t="str">
        <f t="shared" si="3"/>
        <v xml:space="preserve">                    p_paddr_281              : r_reg_readdata &lt;= {8'd0,sr_paddr_dat[281]};</v>
      </c>
    </row>
    <row r="221" spans="1:2" x14ac:dyDescent="0.3">
      <c r="A221">
        <v>282</v>
      </c>
      <c r="B221" t="str">
        <f t="shared" si="3"/>
        <v xml:space="preserve">                    p_paddr_282              : r_reg_readdata &lt;= {8'd0,sr_paddr_dat[282]};</v>
      </c>
    </row>
    <row r="222" spans="1:2" x14ac:dyDescent="0.3">
      <c r="A222">
        <v>283</v>
      </c>
      <c r="B222" t="str">
        <f t="shared" si="3"/>
        <v xml:space="preserve">                    p_paddr_283              : r_reg_readdata &lt;= {8'd0,sr_paddr_dat[283]};</v>
      </c>
    </row>
    <row r="223" spans="1:2" x14ac:dyDescent="0.3">
      <c r="A223">
        <v>284</v>
      </c>
      <c r="B223" t="str">
        <f t="shared" si="3"/>
        <v xml:space="preserve">                    p_paddr_284              : r_reg_readdata &lt;= {8'd0,sr_paddr_dat[284]};</v>
      </c>
    </row>
    <row r="224" spans="1:2" x14ac:dyDescent="0.3">
      <c r="A224">
        <v>285</v>
      </c>
      <c r="B224" t="str">
        <f t="shared" si="3"/>
        <v xml:space="preserve">                    p_paddr_285              : r_reg_readdata &lt;= {8'd0,sr_paddr_dat[285]};</v>
      </c>
    </row>
    <row r="225" spans="1:2" x14ac:dyDescent="0.3">
      <c r="A225">
        <v>286</v>
      </c>
      <c r="B225" t="str">
        <f t="shared" si="3"/>
        <v xml:space="preserve">                    p_paddr_286              : r_reg_readdata &lt;= {8'd0,sr_paddr_dat[286]};</v>
      </c>
    </row>
    <row r="226" spans="1:2" x14ac:dyDescent="0.3">
      <c r="A226">
        <v>287</v>
      </c>
      <c r="B226" t="str">
        <f t="shared" si="3"/>
        <v xml:space="preserve">                    p_paddr_287              : r_reg_readdata &lt;= {8'd0,sr_paddr_dat[287]};</v>
      </c>
    </row>
    <row r="227" spans="1:2" x14ac:dyDescent="0.3">
      <c r="A227">
        <v>288</v>
      </c>
      <c r="B227" t="str">
        <f t="shared" si="3"/>
        <v xml:space="preserve">                    p_paddr_288              : r_reg_readdata &lt;= {8'd0,sr_paddr_dat[288]};</v>
      </c>
    </row>
    <row r="228" spans="1:2" x14ac:dyDescent="0.3">
      <c r="A228">
        <v>289</v>
      </c>
      <c r="B228" t="str">
        <f t="shared" si="3"/>
        <v xml:space="preserve">                    p_paddr_289              : r_reg_readdata &lt;= {8'd0,sr_paddr_dat[289]};</v>
      </c>
    </row>
    <row r="229" spans="1:2" x14ac:dyDescent="0.3">
      <c r="A229">
        <v>290</v>
      </c>
      <c r="B229" t="str">
        <f t="shared" si="3"/>
        <v xml:space="preserve">                    p_paddr_290              : r_reg_readdata &lt;= {8'd0,sr_paddr_dat[290]};</v>
      </c>
    </row>
    <row r="230" spans="1:2" x14ac:dyDescent="0.3">
      <c r="A230">
        <v>291</v>
      </c>
      <c r="B230" t="str">
        <f t="shared" si="3"/>
        <v xml:space="preserve">                    p_paddr_291              : r_reg_readdata &lt;= {8'd0,sr_paddr_dat[291]};</v>
      </c>
    </row>
    <row r="231" spans="1:2" x14ac:dyDescent="0.3">
      <c r="A231">
        <v>292</v>
      </c>
      <c r="B231" t="str">
        <f t="shared" si="3"/>
        <v xml:space="preserve">                    p_paddr_292              : r_reg_readdata &lt;= {8'd0,sr_paddr_dat[292]};</v>
      </c>
    </row>
    <row r="232" spans="1:2" x14ac:dyDescent="0.3">
      <c r="A232">
        <v>293</v>
      </c>
      <c r="B232" t="str">
        <f t="shared" si="3"/>
        <v xml:space="preserve">                    p_paddr_293              : r_reg_readdata &lt;= {8'd0,sr_paddr_dat[293]};</v>
      </c>
    </row>
    <row r="233" spans="1:2" x14ac:dyDescent="0.3">
      <c r="A233">
        <v>294</v>
      </c>
      <c r="B233" t="str">
        <f t="shared" si="3"/>
        <v xml:space="preserve">                    p_paddr_294              : r_reg_readdata &lt;= {8'd0,sr_paddr_dat[294]};</v>
      </c>
    </row>
    <row r="234" spans="1:2" x14ac:dyDescent="0.3">
      <c r="A234">
        <v>295</v>
      </c>
      <c r="B234" t="str">
        <f t="shared" si="3"/>
        <v xml:space="preserve">                    p_paddr_295              : r_reg_readdata &lt;= {8'd0,sr_paddr_dat[295]};</v>
      </c>
    </row>
    <row r="235" spans="1:2" x14ac:dyDescent="0.3">
      <c r="A235">
        <v>296</v>
      </c>
      <c r="B235" t="str">
        <f t="shared" si="3"/>
        <v xml:space="preserve">                    p_paddr_296              : r_reg_readdata &lt;= {8'd0,sr_paddr_dat[296]};</v>
      </c>
    </row>
    <row r="236" spans="1:2" x14ac:dyDescent="0.3">
      <c r="A236">
        <v>297</v>
      </c>
      <c r="B236" t="str">
        <f t="shared" si="3"/>
        <v xml:space="preserve">                    p_paddr_297              : r_reg_readdata &lt;= {8'd0,sr_paddr_dat[297]};</v>
      </c>
    </row>
    <row r="237" spans="1:2" x14ac:dyDescent="0.3">
      <c r="A237">
        <v>298</v>
      </c>
      <c r="B237" t="str">
        <f t="shared" si="3"/>
        <v xml:space="preserve">                    p_paddr_298              : r_reg_readdata &lt;= {8'd0,sr_paddr_dat[298]};</v>
      </c>
    </row>
    <row r="238" spans="1:2" x14ac:dyDescent="0.3">
      <c r="A238">
        <v>299</v>
      </c>
      <c r="B238" t="str">
        <f t="shared" si="3"/>
        <v xml:space="preserve">                    p_paddr_299              : r_reg_readdata &lt;= {8'd0,sr_paddr_dat[299]};</v>
      </c>
    </row>
    <row r="239" spans="1:2" x14ac:dyDescent="0.3">
      <c r="A239">
        <v>300</v>
      </c>
      <c r="B239" t="str">
        <f t="shared" si="3"/>
        <v xml:space="preserve">                    p_paddr_300              : r_reg_readdata &lt;= {8'd0,sr_paddr_dat[300]};</v>
      </c>
    </row>
    <row r="240" spans="1:2" x14ac:dyDescent="0.3">
      <c r="A240">
        <v>301</v>
      </c>
      <c r="B240" t="str">
        <f t="shared" si="3"/>
        <v xml:space="preserve">                    p_paddr_301              : r_reg_readdata &lt;= {8'd0,sr_paddr_dat[301]};</v>
      </c>
    </row>
    <row r="241" spans="1:2" x14ac:dyDescent="0.3">
      <c r="A241">
        <v>302</v>
      </c>
      <c r="B241" t="str">
        <f t="shared" si="3"/>
        <v xml:space="preserve">                    p_paddr_302              : r_reg_readdata &lt;= {8'd0,sr_paddr_dat[302]};</v>
      </c>
    </row>
    <row r="242" spans="1:2" x14ac:dyDescent="0.3">
      <c r="A242">
        <v>303</v>
      </c>
      <c r="B242" t="str">
        <f t="shared" si="3"/>
        <v xml:space="preserve">                    p_paddr_303              : r_reg_readdata &lt;= {8'd0,sr_paddr_dat[303]};</v>
      </c>
    </row>
    <row r="243" spans="1:2" x14ac:dyDescent="0.3">
      <c r="A243">
        <v>304</v>
      </c>
      <c r="B243" t="str">
        <f t="shared" si="3"/>
        <v xml:space="preserve">                    p_paddr_304              : r_reg_readdata &lt;= {8'd0,sr_paddr_dat[304]};</v>
      </c>
    </row>
    <row r="244" spans="1:2" x14ac:dyDescent="0.3">
      <c r="A244">
        <v>305</v>
      </c>
      <c r="B244" t="str">
        <f t="shared" si="3"/>
        <v xml:space="preserve">                    p_paddr_305              : r_reg_readdata &lt;= {8'd0,sr_paddr_dat[305]};</v>
      </c>
    </row>
    <row r="245" spans="1:2" x14ac:dyDescent="0.3">
      <c r="A245">
        <v>306</v>
      </c>
      <c r="B245" t="str">
        <f t="shared" si="3"/>
        <v xml:space="preserve">                    p_paddr_306              : r_reg_readdata &lt;= {8'd0,sr_paddr_dat[306]};</v>
      </c>
    </row>
    <row r="246" spans="1:2" x14ac:dyDescent="0.3">
      <c r="A246">
        <v>307</v>
      </c>
      <c r="B246" t="str">
        <f t="shared" si="3"/>
        <v xml:space="preserve">                    p_paddr_307              : r_reg_readdata &lt;= {8'd0,sr_paddr_dat[307]};</v>
      </c>
    </row>
    <row r="247" spans="1:2" x14ac:dyDescent="0.3">
      <c r="A247">
        <v>308</v>
      </c>
      <c r="B247" t="str">
        <f t="shared" si="3"/>
        <v xml:space="preserve">                    p_paddr_308              : r_reg_readdata &lt;= {8'd0,sr_paddr_dat[308]};</v>
      </c>
    </row>
    <row r="248" spans="1:2" x14ac:dyDescent="0.3">
      <c r="A248">
        <v>309</v>
      </c>
      <c r="B248" t="str">
        <f t="shared" si="3"/>
        <v xml:space="preserve">                    p_paddr_309              : r_reg_readdata &lt;= {8'd0,sr_paddr_dat[309]};</v>
      </c>
    </row>
    <row r="249" spans="1:2" x14ac:dyDescent="0.3">
      <c r="A249">
        <v>310</v>
      </c>
      <c r="B249" t="str">
        <f t="shared" si="3"/>
        <v xml:space="preserve">                    p_paddr_310              : r_reg_readdata &lt;= {8'd0,sr_paddr_dat[310]};</v>
      </c>
    </row>
    <row r="250" spans="1:2" x14ac:dyDescent="0.3">
      <c r="A250">
        <v>311</v>
      </c>
      <c r="B250" t="str">
        <f t="shared" si="3"/>
        <v xml:space="preserve">                    p_paddr_311              : r_reg_readdata &lt;= {8'd0,sr_paddr_dat[311]};</v>
      </c>
    </row>
    <row r="251" spans="1:2" x14ac:dyDescent="0.3">
      <c r="A251">
        <v>312</v>
      </c>
      <c r="B251" t="str">
        <f t="shared" si="3"/>
        <v xml:space="preserve">                    p_paddr_312              : r_reg_readdata &lt;= {8'd0,sr_paddr_dat[312]};</v>
      </c>
    </row>
    <row r="252" spans="1:2" x14ac:dyDescent="0.3">
      <c r="A252">
        <v>313</v>
      </c>
      <c r="B252" t="str">
        <f t="shared" si="3"/>
        <v xml:space="preserve">                    p_paddr_313              : r_reg_readdata &lt;= {8'd0,sr_paddr_dat[313]};</v>
      </c>
    </row>
    <row r="253" spans="1:2" x14ac:dyDescent="0.3">
      <c r="A253">
        <v>314</v>
      </c>
      <c r="B253" t="str">
        <f t="shared" si="3"/>
        <v xml:space="preserve">                    p_paddr_314              : r_reg_readdata &lt;= {8'd0,sr_paddr_dat[314]};</v>
      </c>
    </row>
    <row r="254" spans="1:2" x14ac:dyDescent="0.3">
      <c r="A254">
        <v>315</v>
      </c>
      <c r="B254" t="str">
        <f t="shared" si="3"/>
        <v xml:space="preserve">                    p_paddr_315              : r_reg_readdata &lt;= {8'd0,sr_paddr_dat[315]};</v>
      </c>
    </row>
    <row r="255" spans="1:2" x14ac:dyDescent="0.3">
      <c r="A255">
        <v>316</v>
      </c>
      <c r="B255" t="str">
        <f t="shared" ref="B255:B306" si="4">"                    p_paddr_"&amp;A255&amp;"              : r_reg_readdata &lt;= {8'd0,sr_paddr_dat["&amp;A255&amp;"]};"</f>
        <v xml:space="preserve">                    p_paddr_316              : r_reg_readdata &lt;= {8'd0,sr_paddr_dat[316]};</v>
      </c>
    </row>
    <row r="256" spans="1:2" x14ac:dyDescent="0.3">
      <c r="A256">
        <v>317</v>
      </c>
      <c r="B256" t="str">
        <f t="shared" si="4"/>
        <v xml:space="preserve">                    p_paddr_317              : r_reg_readdata &lt;= {8'd0,sr_paddr_dat[317]};</v>
      </c>
    </row>
    <row r="257" spans="1:2" x14ac:dyDescent="0.3">
      <c r="A257">
        <v>318</v>
      </c>
      <c r="B257" t="str">
        <f t="shared" si="4"/>
        <v xml:space="preserve">                    p_paddr_318              : r_reg_readdata &lt;= {8'd0,sr_paddr_dat[318]};</v>
      </c>
    </row>
    <row r="258" spans="1:2" x14ac:dyDescent="0.3">
      <c r="A258">
        <v>319</v>
      </c>
      <c r="B258" t="str">
        <f t="shared" si="4"/>
        <v xml:space="preserve">                    p_paddr_319              : r_reg_readdata &lt;= {8'd0,sr_paddr_dat[319]};</v>
      </c>
    </row>
    <row r="259" spans="1:2" x14ac:dyDescent="0.3">
      <c r="A259">
        <v>320</v>
      </c>
      <c r="B259" t="str">
        <f t="shared" si="4"/>
        <v xml:space="preserve">                    p_paddr_320              : r_reg_readdata &lt;= {8'd0,sr_paddr_dat[320]};</v>
      </c>
    </row>
    <row r="260" spans="1:2" x14ac:dyDescent="0.3">
      <c r="A260">
        <v>321</v>
      </c>
      <c r="B260" t="str">
        <f t="shared" si="4"/>
        <v xml:space="preserve">                    p_paddr_321              : r_reg_readdata &lt;= {8'd0,sr_paddr_dat[321]};</v>
      </c>
    </row>
    <row r="261" spans="1:2" x14ac:dyDescent="0.3">
      <c r="A261">
        <v>322</v>
      </c>
      <c r="B261" t="str">
        <f t="shared" si="4"/>
        <v xml:space="preserve">                    p_paddr_322              : r_reg_readdata &lt;= {8'd0,sr_paddr_dat[322]};</v>
      </c>
    </row>
    <row r="262" spans="1:2" x14ac:dyDescent="0.3">
      <c r="A262">
        <v>323</v>
      </c>
      <c r="B262" t="str">
        <f t="shared" si="4"/>
        <v xml:space="preserve">                    p_paddr_323              : r_reg_readdata &lt;= {8'd0,sr_paddr_dat[323]};</v>
      </c>
    </row>
    <row r="263" spans="1:2" x14ac:dyDescent="0.3">
      <c r="A263">
        <v>324</v>
      </c>
      <c r="B263" t="str">
        <f t="shared" si="4"/>
        <v xml:space="preserve">                    p_paddr_324              : r_reg_readdata &lt;= {8'd0,sr_paddr_dat[324]};</v>
      </c>
    </row>
    <row r="264" spans="1:2" x14ac:dyDescent="0.3">
      <c r="A264">
        <v>325</v>
      </c>
      <c r="B264" t="str">
        <f t="shared" si="4"/>
        <v xml:space="preserve">                    p_paddr_325              : r_reg_readdata &lt;= {8'd0,sr_paddr_dat[325]};</v>
      </c>
    </row>
    <row r="265" spans="1:2" x14ac:dyDescent="0.3">
      <c r="A265">
        <v>326</v>
      </c>
      <c r="B265" t="str">
        <f t="shared" si="4"/>
        <v xml:space="preserve">                    p_paddr_326              : r_reg_readdata &lt;= {8'd0,sr_paddr_dat[326]};</v>
      </c>
    </row>
    <row r="266" spans="1:2" x14ac:dyDescent="0.3">
      <c r="A266">
        <v>327</v>
      </c>
      <c r="B266" t="str">
        <f t="shared" si="4"/>
        <v xml:space="preserve">                    p_paddr_327              : r_reg_readdata &lt;= {8'd0,sr_paddr_dat[327]};</v>
      </c>
    </row>
    <row r="267" spans="1:2" x14ac:dyDescent="0.3">
      <c r="A267">
        <v>328</v>
      </c>
      <c r="B267" t="str">
        <f t="shared" si="4"/>
        <v xml:space="preserve">                    p_paddr_328              : r_reg_readdata &lt;= {8'd0,sr_paddr_dat[328]};</v>
      </c>
    </row>
    <row r="268" spans="1:2" x14ac:dyDescent="0.3">
      <c r="A268">
        <v>329</v>
      </c>
      <c r="B268" t="str">
        <f t="shared" si="4"/>
        <v xml:space="preserve">                    p_paddr_329              : r_reg_readdata &lt;= {8'd0,sr_paddr_dat[329]};</v>
      </c>
    </row>
    <row r="269" spans="1:2" x14ac:dyDescent="0.3">
      <c r="A269">
        <v>330</v>
      </c>
      <c r="B269" t="str">
        <f t="shared" si="4"/>
        <v xml:space="preserve">                    p_paddr_330              : r_reg_readdata &lt;= {8'd0,sr_paddr_dat[330]};</v>
      </c>
    </row>
    <row r="270" spans="1:2" x14ac:dyDescent="0.3">
      <c r="A270">
        <v>331</v>
      </c>
      <c r="B270" t="str">
        <f t="shared" si="4"/>
        <v xml:space="preserve">                    p_paddr_331              : r_reg_readdata &lt;= {8'd0,sr_paddr_dat[331]};</v>
      </c>
    </row>
    <row r="271" spans="1:2" x14ac:dyDescent="0.3">
      <c r="A271">
        <v>332</v>
      </c>
      <c r="B271" t="str">
        <f t="shared" si="4"/>
        <v xml:space="preserve">                    p_paddr_332              : r_reg_readdata &lt;= {8'd0,sr_paddr_dat[332]};</v>
      </c>
    </row>
    <row r="272" spans="1:2" x14ac:dyDescent="0.3">
      <c r="A272">
        <v>333</v>
      </c>
      <c r="B272" t="str">
        <f t="shared" si="4"/>
        <v xml:space="preserve">                    p_paddr_333              : r_reg_readdata &lt;= {8'd0,sr_paddr_dat[333]};</v>
      </c>
    </row>
    <row r="273" spans="1:2" x14ac:dyDescent="0.3">
      <c r="A273">
        <v>334</v>
      </c>
      <c r="B273" t="str">
        <f t="shared" si="4"/>
        <v xml:space="preserve">                    p_paddr_334              : r_reg_readdata &lt;= {8'd0,sr_paddr_dat[334]};</v>
      </c>
    </row>
    <row r="274" spans="1:2" x14ac:dyDescent="0.3">
      <c r="A274">
        <v>335</v>
      </c>
      <c r="B274" t="str">
        <f t="shared" si="4"/>
        <v xml:space="preserve">                    p_paddr_335              : r_reg_readdata &lt;= {8'd0,sr_paddr_dat[335]};</v>
      </c>
    </row>
    <row r="275" spans="1:2" x14ac:dyDescent="0.3">
      <c r="A275">
        <v>336</v>
      </c>
      <c r="B275" t="str">
        <f t="shared" si="4"/>
        <v xml:space="preserve">                    p_paddr_336              : r_reg_readdata &lt;= {8'd0,sr_paddr_dat[336]};</v>
      </c>
    </row>
    <row r="276" spans="1:2" x14ac:dyDescent="0.3">
      <c r="A276">
        <v>337</v>
      </c>
      <c r="B276" t="str">
        <f t="shared" si="4"/>
        <v xml:space="preserve">                    p_paddr_337              : r_reg_readdata &lt;= {8'd0,sr_paddr_dat[337]};</v>
      </c>
    </row>
    <row r="277" spans="1:2" x14ac:dyDescent="0.3">
      <c r="A277">
        <v>338</v>
      </c>
      <c r="B277" t="str">
        <f t="shared" si="4"/>
        <v xml:space="preserve">                    p_paddr_338              : r_reg_readdata &lt;= {8'd0,sr_paddr_dat[338]};</v>
      </c>
    </row>
    <row r="278" spans="1:2" x14ac:dyDescent="0.3">
      <c r="A278">
        <v>339</v>
      </c>
      <c r="B278" t="str">
        <f t="shared" si="4"/>
        <v xml:space="preserve">                    p_paddr_339              : r_reg_readdata &lt;= {8'd0,sr_paddr_dat[339]};</v>
      </c>
    </row>
    <row r="279" spans="1:2" x14ac:dyDescent="0.3">
      <c r="A279">
        <v>340</v>
      </c>
      <c r="B279" t="str">
        <f t="shared" si="4"/>
        <v xml:space="preserve">                    p_paddr_340              : r_reg_readdata &lt;= {8'd0,sr_paddr_dat[340]};</v>
      </c>
    </row>
    <row r="280" spans="1:2" x14ac:dyDescent="0.3">
      <c r="A280">
        <v>341</v>
      </c>
      <c r="B280" t="str">
        <f t="shared" si="4"/>
        <v xml:space="preserve">                    p_paddr_341              : r_reg_readdata &lt;= {8'd0,sr_paddr_dat[341]};</v>
      </c>
    </row>
    <row r="281" spans="1:2" x14ac:dyDescent="0.3">
      <c r="A281">
        <v>342</v>
      </c>
      <c r="B281" t="str">
        <f t="shared" si="4"/>
        <v xml:space="preserve">                    p_paddr_342              : r_reg_readdata &lt;= {8'd0,sr_paddr_dat[342]};</v>
      </c>
    </row>
    <row r="282" spans="1:2" x14ac:dyDescent="0.3">
      <c r="A282">
        <v>343</v>
      </c>
      <c r="B282" t="str">
        <f t="shared" si="4"/>
        <v xml:space="preserve">                    p_paddr_343              : r_reg_readdata &lt;= {8'd0,sr_paddr_dat[343]};</v>
      </c>
    </row>
    <row r="283" spans="1:2" x14ac:dyDescent="0.3">
      <c r="A283">
        <v>344</v>
      </c>
      <c r="B283" t="str">
        <f t="shared" si="4"/>
        <v xml:space="preserve">                    p_paddr_344              : r_reg_readdata &lt;= {8'd0,sr_paddr_dat[344]};</v>
      </c>
    </row>
    <row r="284" spans="1:2" x14ac:dyDescent="0.3">
      <c r="A284">
        <v>345</v>
      </c>
      <c r="B284" t="str">
        <f t="shared" si="4"/>
        <v xml:space="preserve">                    p_paddr_345              : r_reg_readdata &lt;= {8'd0,sr_paddr_dat[345]};</v>
      </c>
    </row>
    <row r="285" spans="1:2" x14ac:dyDescent="0.3">
      <c r="A285">
        <v>346</v>
      </c>
      <c r="B285" t="str">
        <f t="shared" si="4"/>
        <v xml:space="preserve">                    p_paddr_346              : r_reg_readdata &lt;= {8'd0,sr_paddr_dat[346]};</v>
      </c>
    </row>
    <row r="286" spans="1:2" x14ac:dyDescent="0.3">
      <c r="A286">
        <v>347</v>
      </c>
      <c r="B286" t="str">
        <f t="shared" si="4"/>
        <v xml:space="preserve">                    p_paddr_347              : r_reg_readdata &lt;= {8'd0,sr_paddr_dat[347]};</v>
      </c>
    </row>
    <row r="287" spans="1:2" x14ac:dyDescent="0.3">
      <c r="A287">
        <v>348</v>
      </c>
      <c r="B287" t="str">
        <f t="shared" si="4"/>
        <v xml:space="preserve">                    p_paddr_348              : r_reg_readdata &lt;= {8'd0,sr_paddr_dat[348]};</v>
      </c>
    </row>
    <row r="288" spans="1:2" x14ac:dyDescent="0.3">
      <c r="A288">
        <v>349</v>
      </c>
      <c r="B288" t="str">
        <f t="shared" si="4"/>
        <v xml:space="preserve">                    p_paddr_349              : r_reg_readdata &lt;= {8'd0,sr_paddr_dat[349]};</v>
      </c>
    </row>
    <row r="289" spans="1:2" x14ac:dyDescent="0.3">
      <c r="A289">
        <v>350</v>
      </c>
      <c r="B289" t="str">
        <f t="shared" si="4"/>
        <v xml:space="preserve">                    p_paddr_350              : r_reg_readdata &lt;= {8'd0,sr_paddr_dat[350]};</v>
      </c>
    </row>
    <row r="290" spans="1:2" x14ac:dyDescent="0.3">
      <c r="A290">
        <v>351</v>
      </c>
      <c r="B290" t="str">
        <f t="shared" si="4"/>
        <v xml:space="preserve">                    p_paddr_351              : r_reg_readdata &lt;= {8'd0,sr_paddr_dat[351]};</v>
      </c>
    </row>
    <row r="291" spans="1:2" x14ac:dyDescent="0.3">
      <c r="A291">
        <v>352</v>
      </c>
      <c r="B291" t="str">
        <f t="shared" si="4"/>
        <v xml:space="preserve">                    p_paddr_352              : r_reg_readdata &lt;= {8'd0,sr_paddr_dat[352]};</v>
      </c>
    </row>
    <row r="292" spans="1:2" x14ac:dyDescent="0.3">
      <c r="A292">
        <v>353</v>
      </c>
      <c r="B292" t="str">
        <f t="shared" si="4"/>
        <v xml:space="preserve">                    p_paddr_353              : r_reg_readdata &lt;= {8'd0,sr_paddr_dat[353]};</v>
      </c>
    </row>
    <row r="293" spans="1:2" x14ac:dyDescent="0.3">
      <c r="A293">
        <v>354</v>
      </c>
      <c r="B293" t="str">
        <f t="shared" si="4"/>
        <v xml:space="preserve">                    p_paddr_354              : r_reg_readdata &lt;= {8'd0,sr_paddr_dat[354]};</v>
      </c>
    </row>
    <row r="294" spans="1:2" x14ac:dyDescent="0.3">
      <c r="A294">
        <v>355</v>
      </c>
      <c r="B294" t="str">
        <f t="shared" si="4"/>
        <v xml:space="preserve">                    p_paddr_355              : r_reg_readdata &lt;= {8'd0,sr_paddr_dat[355]};</v>
      </c>
    </row>
    <row r="295" spans="1:2" x14ac:dyDescent="0.3">
      <c r="A295">
        <v>356</v>
      </c>
      <c r="B295" t="str">
        <f t="shared" si="4"/>
        <v xml:space="preserve">                    p_paddr_356              : r_reg_readdata &lt;= {8'd0,sr_paddr_dat[356]};</v>
      </c>
    </row>
    <row r="296" spans="1:2" x14ac:dyDescent="0.3">
      <c r="A296">
        <v>357</v>
      </c>
      <c r="B296" t="str">
        <f t="shared" si="4"/>
        <v xml:space="preserve">                    p_paddr_357              : r_reg_readdata &lt;= {8'd0,sr_paddr_dat[357]};</v>
      </c>
    </row>
    <row r="297" spans="1:2" x14ac:dyDescent="0.3">
      <c r="A297">
        <v>358</v>
      </c>
      <c r="B297" t="str">
        <f t="shared" si="4"/>
        <v xml:space="preserve">                    p_paddr_358              : r_reg_readdata &lt;= {8'd0,sr_paddr_dat[358]};</v>
      </c>
    </row>
    <row r="298" spans="1:2" x14ac:dyDescent="0.3">
      <c r="A298">
        <v>359</v>
      </c>
      <c r="B298" t="str">
        <f t="shared" si="4"/>
        <v xml:space="preserve">                    p_paddr_359              : r_reg_readdata &lt;= {8'd0,sr_paddr_dat[359]};</v>
      </c>
    </row>
    <row r="299" spans="1:2" x14ac:dyDescent="0.3">
      <c r="A299">
        <v>360</v>
      </c>
      <c r="B299" t="str">
        <f t="shared" si="4"/>
        <v xml:space="preserve">                    p_paddr_360              : r_reg_readdata &lt;= {8'd0,sr_paddr_dat[360]};</v>
      </c>
    </row>
    <row r="300" spans="1:2" x14ac:dyDescent="0.3">
      <c r="A300">
        <v>361</v>
      </c>
      <c r="B300" t="str">
        <f t="shared" si="4"/>
        <v xml:space="preserve">                    p_paddr_361              : r_reg_readdata &lt;= {8'd0,sr_paddr_dat[361]};</v>
      </c>
    </row>
    <row r="301" spans="1:2" x14ac:dyDescent="0.3">
      <c r="A301">
        <v>362</v>
      </c>
      <c r="B301" t="str">
        <f t="shared" si="4"/>
        <v xml:space="preserve">                    p_paddr_362              : r_reg_readdata &lt;= {8'd0,sr_paddr_dat[362]};</v>
      </c>
    </row>
    <row r="302" spans="1:2" x14ac:dyDescent="0.3">
      <c r="A302">
        <v>363</v>
      </c>
      <c r="B302" t="str">
        <f t="shared" si="4"/>
        <v xml:space="preserve">                    p_paddr_363              : r_reg_readdata &lt;= {8'd0,sr_paddr_dat[363]};</v>
      </c>
    </row>
    <row r="303" spans="1:2" x14ac:dyDescent="0.3">
      <c r="A303">
        <v>364</v>
      </c>
      <c r="B303" t="str">
        <f t="shared" si="4"/>
        <v xml:space="preserve">                    p_paddr_364              : r_reg_readdata &lt;= {8'd0,sr_paddr_dat[364]};</v>
      </c>
    </row>
    <row r="304" spans="1:2" x14ac:dyDescent="0.3">
      <c r="A304">
        <v>365</v>
      </c>
      <c r="B304" t="str">
        <f t="shared" si="4"/>
        <v xml:space="preserve">                    p_paddr_365              : r_reg_readdata &lt;= {8'd0,sr_paddr_dat[365]};</v>
      </c>
    </row>
    <row r="305" spans="1:2" x14ac:dyDescent="0.3">
      <c r="A305">
        <v>366</v>
      </c>
      <c r="B305" t="str">
        <f t="shared" si="4"/>
        <v xml:space="preserve">                    p_paddr_366              : r_reg_readdata &lt;= {8'd0,sr_paddr_dat[366]};</v>
      </c>
    </row>
    <row r="306" spans="1:2" x14ac:dyDescent="0.3">
      <c r="A306">
        <v>367</v>
      </c>
      <c r="B306" t="str">
        <f t="shared" si="4"/>
        <v xml:space="preserve">                    p_paddr_367              : r_reg_readdata &lt;= {8'd0,sr_paddr_dat[367]};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D4"/>
  <sheetViews>
    <sheetView tabSelected="1" workbookViewId="0">
      <selection activeCell="D5" sqref="D5"/>
    </sheetView>
  </sheetViews>
  <sheetFormatPr defaultRowHeight="15" x14ac:dyDescent="0.3"/>
  <sheetData>
    <row r="4" spans="3:4" x14ac:dyDescent="0.3">
      <c r="C4">
        <v>255</v>
      </c>
      <c r="D4" t="str">
        <f>DEC2BIN(C4)</f>
        <v>11111111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suyama84</dc:creator>
  <cp:lastModifiedBy>suyama84</cp:lastModifiedBy>
  <dcterms:created xsi:type="dcterms:W3CDTF">2024-08-31T16:39:46Z</dcterms:created>
  <dcterms:modified xsi:type="dcterms:W3CDTF">2024-09-01T04:30:42Z</dcterms:modified>
</cp:coreProperties>
</file>